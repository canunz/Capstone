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f8085eeb495484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Gestión Proyecto Carta Gantt" sheetId="3" r:id="R570747d21ae74ffe"/>
  </x:sheets>
</x:workbook>
</file>

<file path=xl/sharedStrings.xml><?xml version="1.0" encoding="utf-8"?>
<x:sst xmlns:x="http://schemas.openxmlformats.org/spreadsheetml/2006/main">
  <x:si>
    <x:t xml:space="preserve">Gestión de Proyecto con Carta Gantt</x:t>
  </x:si>
  <x:si>
    <x:t xml:space="preserve">Nombre del Proyecto</x:t>
  </x:si>
  <x:si>
    <x:t xml:space="preserve">Director(a) del Proyecto</x:t>
  </x:si>
  <x:si>
    <x:t xml:space="preserve">Nombre Empresa Cliente</x:t>
  </x:si>
  <x:si>
    <x:t xml:space="preserve">Fecha</x:t>
  </x:si>
  <x:si>
    <x:t xml:space="preserve">IDENTIFICADOR</x:t>
  </x:si>
  <x:si>
    <x:t xml:space="preserve">NOMBRE</x:t>
  </x:si>
  <x:si>
    <x:t xml:space="preserve">DUEÑO DE</x:t>
  </x:si>
  <x:si>
    <x:t xml:space="preserve">FECHA DE</x:t>
  </x:si>
  <x:si>
    <x:t xml:space="preserve">DURACIÓN</x:t>
  </x:si>
  <x:si>
    <x:t xml:space="preserve">PORCENTAJE COMPLETADO</x:t>
  </x:si>
  <x:si>
    <x:t xml:space="preserve">SEMANA 1</x:t>
  </x:si>
  <x:si>
    <x:t xml:space="preserve">SEMANA 2</x:t>
  </x:si>
  <x:si>
    <x:t xml:space="preserve">SEMANA 3</x:t>
  </x:si>
  <x:si>
    <x:t xml:space="preserve">SEMANA 4</x:t>
  </x:si>
  <x:si>
    <x:t xml:space="preserve">SEMANA 5</x:t>
  </x:si>
  <x:si>
    <x:t xml:space="preserve">SEMANA 6</x:t>
  </x:si>
  <x:si>
    <x:t xml:space="preserve">SEMANA 7</x:t>
  </x:si>
  <x:si>
    <x:t xml:space="preserve">SEMANA 8</x:t>
  </x:si>
  <x:si>
    <x:t xml:space="preserve">SEMANA 9</x:t>
  </x:si>
  <x:si>
    <x:t xml:space="preserve">SEMANA 10</x:t>
  </x:si>
  <x:si>
    <x:t xml:space="preserve">SEMANA 11</x:t>
  </x:si>
  <x:si>
    <x:t xml:space="preserve">SEMANA 12</x:t>
  </x:si>
  <x:si>
    <x:t xml:space="preserve">SEMANA 13</x:t>
  </x:si>
  <x:si>
    <x:t xml:space="preserve">SEMANA 14</x:t>
  </x:si>
  <x:si>
    <x:t xml:space="preserve">SEMANA 15</x:t>
  </x:si>
  <x:si>
    <x:t xml:space="preserve">SEMANA 16</x:t>
  </x:si>
  <x:si>
    <x:t xml:space="preserve">SEMANA 17</x:t>
  </x:si>
  <x:si>
    <x:t xml:space="preserve">TAREA</x:t>
  </x:si>
  <x:si>
    <x:t xml:space="preserve">LA TAREA</x:t>
  </x:si>
  <x:si>
    <x:t xml:space="preserve">INICIO</x:t>
  </x:si>
  <x:si>
    <x:t xml:space="preserve">TÉRMINO</x:t>
  </x:si>
  <x:si>
    <x:t xml:space="preserve">EN DÍAS</x:t>
  </x:si>
  <x:si>
    <x:t xml:space="preserve">DE LA TAREA</x:t>
  </x:si>
  <x:si>
    <x:t xml:space="preserve">L</x:t>
  </x:si>
  <x:si>
    <x:t xml:space="preserve">MA</x:t>
  </x:si>
  <x:si>
    <x:t xml:space="preserve">MI</x:t>
  </x:si>
  <x:si>
    <x:t xml:space="preserve">J</x:t>
  </x:si>
  <x:si>
    <x:t xml:space="preserve">V</x:t>
  </x:si>
</x:sst>
</file>

<file path=xl/styles.xml><?xml version="1.0" encoding="utf-8"?>
<x:styleSheet xmlns:x="http://schemas.openxmlformats.org/spreadsheetml/2006/main">
  <x:numFmts count="6">
    <x:numFmt numFmtId="164" formatCode="mm/dd/yy;@"/>
    <x:numFmt numFmtId="165" formatCode="[$-F800]dddd\,\ mmmm\ dd\,\ yyyy"/>
    <x:numFmt numFmtId="200" formatCode="dd-mm-yyyy"/>
    <x:numFmt numFmtId="201" formatCode="0%"/>
    <x:numFmt numFmtId="202" formatCode="dd-mmm"/>
    <x:numFmt numFmtId="203" formatCode=";;;"/>
  </x:numFmts>
  <x:fonts count="13">
    <x:font>
      <x:sz val="12"/>
      <x:color theme="1"/>
      <x:name val="Corbel"/>
    </x:font>
    <x:font>
      <x:sz val="12"/>
      <x:color theme="1"/>
      <x:name val="Corbel"/>
    </x:font>
    <x:font>
      <x:sz val="12"/>
      <x:color theme="1"/>
      <x:name val="Century Gothic"/>
    </x:font>
    <x:font>
      <x:b/>
      <x:sz val="15"/>
      <x:color rgb="FF000000"/>
      <x:name val="Arial"/>
    </x:font>
    <x:font>
      <x:b/>
      <x:sz val="10"/>
      <x:color theme="0"/>
      <x:name val="Century Gothic"/>
    </x:font>
    <x:font>
      <x:sz val="10"/>
      <x:color theme="1"/>
      <x:name val="Century Gothic"/>
    </x:font>
    <x:font>
      <x:b/>
      <x:sz val="10"/>
      <x:color theme="4" tint="-0.24998"/>
      <x:name val="Century Gothic"/>
    </x:font>
    <x:font>
      <x:b/>
      <x:sz val="9"/>
      <x:color theme="1"/>
      <x:name val="Century Gothic"/>
    </x:font>
    <x:font>
      <x:b/>
      <x:sz val="10"/>
      <x:color theme="1"/>
      <x:name val="Century Gothic"/>
    </x:font>
    <x:font>
      <x:b/>
      <x:sz val="20"/>
      <x:color theme="0" tint="-0.49998"/>
      <x:name val="Century Gothic"/>
    </x:font>
    <x:font>
      <x:sz val="11"/>
      <x:color theme="1"/>
      <x:name val="Corbel"/>
    </x:font>
    <x:font>
      <x:sz val="8"/>
      <x:name val="Corbel"/>
    </x:font>
    <x:font>
      <x:b/>
      <x:sz val="7"/>
      <x:color theme="0"/>
      <x:name val="Century Gothic"/>
    </x:font>
  </x:fonts>
  <x:fills count="23">
    <x:fill>
      <x:patternFill patternType="none"/>
    </x:fill>
    <x:fill>
      <x:patternFill patternType="gray125"/>
    </x:fill>
    <x:fill>
      <x:patternFill patternType="solid">
        <x:fgColor theme="6" tint="-0.49998"/>
      </x:patternFill>
    </x:fill>
    <x:fill>
      <x:patternFill patternType="solid">
        <x:fgColor theme="6" tint="-0.24998"/>
      </x:patternFill>
    </x:fill>
    <x:fill>
      <x:patternFill patternType="solid">
        <x:fgColor theme="7" tint="-0.49998"/>
      </x:patternFill>
    </x:fill>
    <x:fill>
      <x:patternFill patternType="solid">
        <x:fgColor theme="7" tint="-0.24998"/>
      </x:patternFill>
    </x:fill>
    <x:fill>
      <x:patternFill patternType="solid">
        <x:fgColor theme="7" tint="0.59999"/>
      </x:patternFill>
    </x:fill>
    <x:fill>
      <x:patternFill patternType="solid">
        <x:fgColor theme="7" tint="0.79998"/>
      </x:patternFill>
    </x:fill>
    <x:fill>
      <x:patternFill patternType="solid">
        <x:fgColor theme="0" tint="-0.15"/>
      </x:patternFill>
    </x:fill>
    <x:fill>
      <x:patternFill patternType="solid">
        <x:fgColor theme="0" tint="-0.04999"/>
      </x:patternFill>
    </x:fill>
    <x:fill>
      <x:patternFill patternType="solid">
        <x:fgColor theme="3" tint="-0.49998"/>
      </x:patternFill>
    </x:fill>
    <x:fill>
      <x:patternFill patternType="solid">
        <x:fgColor theme="3"/>
      </x:patternFill>
    </x:fill>
    <x:fill>
      <x:patternFill patternType="solid">
        <x:fgColor theme="3" tint="0.79998"/>
      </x:patternFill>
    </x:fill>
    <x:fill>
      <x:patternFill patternType="solid">
        <x:fgColor rgb="FFEAEEF3"/>
      </x:patternFill>
    </x:fill>
    <x:fill>
      <x:patternFill patternType="solid">
        <x:fgColor theme="9" tint="-0.49998"/>
      </x:patternFill>
    </x:fill>
    <x:fill>
      <x:patternFill patternType="solid">
        <x:fgColor theme="9" tint="-0.24998"/>
      </x:patternFill>
    </x:fill>
    <x:fill>
      <x:patternFill patternType="solid">
        <x:fgColor theme="9" tint="0.39998"/>
      </x:patternFill>
    </x:fill>
    <x:fill>
      <x:patternFill patternType="solid">
        <x:fgColor theme="9" tint="0.79998"/>
      </x:patternFill>
    </x:fill>
    <x:fill>
      <x:patternFill patternType="solid">
        <x:fgColor theme="6" tint="0.39998"/>
      </x:patternFill>
    </x:fill>
    <x:fill>
      <x:patternFill patternType="solid">
        <x:fgColor theme="0"/>
      </x:patternFill>
    </x:fill>
    <x:fill>
      <x:patternFill patternType="solid">
        <x:fgColor theme="5" tint="-0.24998"/>
      </x:patternFill>
    </x:fill>
    <x:fill>
      <x:patternFill patternType="solid">
        <x:fgColor theme="5" tint="0.39998"/>
      </x:patternFill>
    </x:fill>
    <x:fill>
      <x:patternFill patternType="solid">
        <x:fgColor theme="5" tint="-0.49998"/>
      </x:patternFill>
    </x:fill>
  </x:fills>
  <x:borders count="88">
    <x:border/>
    <x:border>
      <x:left style="thin">
        <x:color theme="0" tint="-0.24998"/>
      </x:left>
      <x:right style="thin">
        <x:color theme="0" tint="-0.24998"/>
      </x:right>
      <x:top style="thin">
        <x:color theme="0" tint="-0.24998"/>
      </x:top>
      <x:bottom style="thin">
        <x:color theme="0" tint="-0.24998"/>
      </x:bottom>
    </x:border>
    <x:border>
      <x:left style="medium">
        <x:color theme="0" tint="-0.24998"/>
      </x:left>
      <x:right style="thin">
        <x:color theme="0" tint="-0.24998"/>
      </x:right>
      <x:top style="thin">
        <x:color theme="0" tint="-0.24998"/>
      </x:top>
      <x:bottom style="thin">
        <x:color theme="0" tint="-0.24998"/>
      </x:bottom>
    </x:border>
    <x:border>
      <x:left style="medium">
        <x:color theme="0" tint="-0.24998"/>
      </x:left>
      <x:right style="thin">
        <x:color theme="0" tint="-0.24998"/>
      </x:right>
      <x:bottom style="thin">
        <x:color theme="0" tint="-0.24998"/>
      </x:bottom>
    </x:border>
    <x:border>
      <x:left style="thin">
        <x:color theme="0" tint="-0.24998"/>
      </x:left>
      <x:right style="thin">
        <x:color theme="0" tint="-0.24998"/>
      </x:right>
      <x:bottom style="thin">
        <x:color theme="0" tint="-0.24998"/>
      </x:bottom>
    </x:border>
    <x:border>
      <x:left style="medium">
        <x:color theme="0" tint="-0.24998"/>
      </x:left>
      <x:right style="thin">
        <x:color theme="0" tint="-0.24998"/>
      </x:right>
      <x:top style="thin">
        <x:color theme="0" tint="-0.24998"/>
      </x:top>
      <x:bottom style="double">
        <x:color theme="0" tint="-0.24998"/>
      </x:bottom>
    </x:border>
    <x:border>
      <x:left style="thin">
        <x:color theme="0" tint="-0.24998"/>
      </x:left>
      <x:right style="thin">
        <x:color theme="0" tint="-0.24998"/>
      </x:right>
      <x:top style="thin">
        <x:color theme="0" tint="-0.24998"/>
      </x:top>
      <x:bottom style="double">
        <x:color theme="0" tint="-0.24998"/>
      </x:bottom>
    </x:border>
    <x:border>
      <x:right style="thin">
        <x:color theme="0" tint="-0.24998"/>
      </x:right>
      <x:top style="thin">
        <x:color theme="0" tint="-0.24998"/>
      </x:top>
      <x:bottom style="double">
        <x:color theme="0" tint="-0.24998"/>
      </x:bottom>
    </x:border>
    <x:border>
      <x:left style="medium">
        <x:color theme="0" tint="-0.34999"/>
      </x:left>
      <x:top style="medium">
        <x:color theme="0" tint="-0.34999"/>
      </x:top>
    </x:border>
    <x:border>
      <x:left style="medium">
        <x:color theme="0" tint="-0.34999"/>
      </x:left>
      <x:bottom style="double">
        <x:color theme="0" tint="-0.34999"/>
      </x:bottom>
    </x:border>
    <x:border>
      <x:left style="thin">
        <x:color theme="0" tint="-0.34999"/>
      </x:left>
      <x:right style="thin">
        <x:color theme="0" tint="-0.34999"/>
      </x:right>
      <x:bottom style="double">
        <x:color theme="0" tint="-0.34999"/>
      </x:bottom>
    </x:border>
    <x:border>
      <x:left style="thin">
        <x:color theme="0" tint="-0.34999"/>
      </x:left>
      <x:right style="thin">
        <x:color theme="0" tint="-0.34999"/>
      </x:right>
      <x:top style="medium">
        <x:color theme="0" tint="-0.34999"/>
      </x:top>
    </x:border>
    <x:border>
      <x:right style="thin">
        <x:color theme="0" tint="-0.24998"/>
      </x:right>
      <x:top style="medium">
        <x:color theme="0" tint="-0.34999"/>
      </x:top>
      <x:bottom style="thin">
        <x:color theme="0" tint="-0.24998"/>
      </x:bottom>
    </x:border>
    <x:border>
      <x:left style="thin">
        <x:color theme="0" tint="-0.24998"/>
      </x:left>
      <x:right style="thin">
        <x:color theme="0" tint="-0.24998"/>
      </x:right>
      <x:top style="medium">
        <x:color theme="0" tint="-0.34999"/>
      </x:top>
      <x:bottom style="thin">
        <x:color theme="0" tint="-0.24998"/>
      </x:bottom>
    </x:border>
    <x:border>
      <x:left style="medium">
        <x:color theme="0" tint="-0.24998"/>
      </x:left>
      <x:right style="thin">
        <x:color theme="0" tint="-0.24998"/>
      </x:right>
      <x:top style="medium">
        <x:color theme="0" tint="-0.34999"/>
      </x:top>
      <x:bottom style="thin">
        <x:color theme="0" tint="-0.24998"/>
      </x:bottom>
    </x:border>
    <x:border>
      <x:left style="medium">
        <x:color theme="0" tint="-0.34999"/>
      </x:left>
      <x:bottom style="thin">
        <x:color theme="0" tint="-0.24998"/>
      </x:bottom>
    </x:border>
    <x:border>
      <x:left style="thin">
        <x:color theme="0" tint="-0.24998"/>
      </x:left>
      <x:right style="medium">
        <x:color theme="0" tint="-0.34999"/>
      </x:right>
      <x:top style="thin">
        <x:color theme="0" tint="-0.24998"/>
      </x:top>
      <x:bottom style="thin">
        <x:color theme="0" tint="-0.24998"/>
      </x:bottom>
    </x:border>
    <x:border>
      <x:left style="medium">
        <x:color theme="0" tint="-0.34999"/>
      </x:left>
      <x:top style="thin">
        <x:color theme="0" tint="-0.24998"/>
      </x:top>
      <x:bottom style="thin">
        <x:color theme="0" tint="-0.24998"/>
      </x:bottom>
    </x:border>
    <x:border>
      <x:left style="medium">
        <x:color theme="0" tint="-0.24998"/>
      </x:left>
      <x:right style="thin">
        <x:color theme="0" tint="-0.24998"/>
      </x:right>
      <x:top style="thin">
        <x:color theme="0" tint="-0.24998"/>
      </x:top>
      <x:bottom style="medium">
        <x:color theme="0" tint="-0.34999"/>
      </x:bottom>
    </x:border>
    <x:border>
      <x:left style="thin">
        <x:color theme="0" tint="-0.24998"/>
      </x:left>
      <x:right style="thin">
        <x:color theme="0" tint="-0.24998"/>
      </x:right>
      <x:top style="thin">
        <x:color theme="0" tint="-0.24998"/>
      </x:top>
      <x:bottom style="medium">
        <x:color theme="0" tint="-0.34999"/>
      </x:bottom>
    </x:border>
    <x:border>
      <x:left style="thin">
        <x:color theme="0" tint="-0.24998"/>
      </x:left>
      <x:right style="medium">
        <x:color theme="0" tint="-0.34999"/>
      </x:right>
      <x:top style="thin">
        <x:color theme="0" tint="-0.24998"/>
      </x:top>
      <x:bottom style="medium">
        <x:color theme="0" tint="-0.34999"/>
      </x:bottom>
    </x:border>
    <x:border>
      <x:right style="thin">
        <x:color theme="0" tint="-0.24998"/>
      </x:right>
      <x:top style="thin">
        <x:color theme="0" tint="-0.24998"/>
      </x:top>
      <x:bottom style="thin">
        <x:color theme="0" tint="-0.24998"/>
      </x:bottom>
    </x:border>
    <x:border>
      <x:right style="thin">
        <x:color theme="0" tint="-0.24998"/>
      </x:right>
      <x:top style="thin">
        <x:color theme="0" tint="-0.24998"/>
      </x:top>
      <x:bottom style="medium">
        <x:color theme="0" tint="-0.34999"/>
      </x:bottom>
    </x:border>
    <x:border>
      <x:left style="thin">
        <x:color theme="0" tint="-0.34999"/>
      </x:left>
      <x:right style="medium">
        <x:color theme="0" tint="-0.34999"/>
      </x:right>
      <x:top style="medium">
        <x:color theme="0" tint="-0.34999"/>
      </x:top>
    </x:border>
    <x:border>
      <x:left style="thin">
        <x:color theme="0" tint="-0.34999"/>
      </x:left>
      <x:right style="medium">
        <x:color theme="0" tint="-0.34999"/>
      </x:right>
      <x:bottom style="double">
        <x:color theme="0" tint="-0.34999"/>
      </x:bottom>
    </x:border>
    <x:border>
      <x:left style="thin">
        <x:color theme="0" tint="-0.24998"/>
      </x:left>
      <x:right style="medium">
        <x:color theme="0" tint="-0.34999"/>
      </x:right>
      <x:bottom style="thin">
        <x:color theme="0" tint="-0.24998"/>
      </x:bottom>
    </x:border>
    <x:border>
      <x:left style="thin">
        <x:color theme="0" tint="-0.34999"/>
      </x:left>
      <x:right style="hair">
        <x:color theme="0" tint="-0.34999"/>
      </x:right>
      <x:top style="thin">
        <x:color theme="0" tint="-0.34999"/>
      </x:top>
      <x:bottom style="thin">
        <x:color theme="0" tint="-0.34999"/>
      </x:bottom>
    </x:border>
    <x:border>
      <x:right style="thin">
        <x:color theme="0" tint="-0.34999"/>
      </x:right>
      <x:top style="thin">
        <x:color theme="0" tint="-0.34999"/>
      </x:top>
      <x:bottom style="thin">
        <x:color theme="0" tint="-0.34999"/>
      </x:bottom>
    </x:border>
    <x:border>
      <x:left style="thin">
        <x:color theme="0" tint="-0.34999"/>
      </x:left>
      <x:right style="hair">
        <x:color theme="0" tint="-0.34999"/>
      </x:right>
      <x:bottom style="thin">
        <x:color theme="0" tint="-0.34999"/>
      </x:bottom>
    </x:border>
    <x:border>
      <x:right style="thin">
        <x:color theme="0" tint="-0.34999"/>
      </x:right>
      <x:bottom style="thin">
        <x:color theme="0" tint="-0.34999"/>
      </x:bottom>
    </x:border>
    <x:border>
      <x:left style="thin">
        <x:color theme="0" tint="-0.34999"/>
      </x:left>
      <x:right style="hair">
        <x:color theme="0" tint="-0.34999"/>
      </x:right>
      <x:bottom style="double">
        <x:color theme="0" tint="-0.34999"/>
      </x:bottom>
    </x:border>
    <x:border>
      <x:right style="thin">
        <x:color theme="0" tint="-0.34999"/>
      </x:right>
      <x:bottom style="double">
        <x:color theme="0" tint="-0.34999"/>
      </x:bottom>
    </x:border>
    <x:border>
      <x:right style="thin">
        <x:color theme="0" tint="-0.34999"/>
      </x:right>
      <x:top style="medium">
        <x:color theme="0" tint="-0.34999"/>
      </x:top>
    </x:border>
    <x:border>
      <x:right style="thin">
        <x:color theme="0" tint="-0.24998"/>
      </x:right>
      <x:bottom style="thin">
        <x:color theme="0" tint="-0.24998"/>
      </x:bottom>
    </x:border>
    <x:border>
      <x:left style="thin">
        <x:color theme="0" tint="-0.34999"/>
      </x:left>
      <x:right style="hair">
        <x:color theme="0" tint="-0.34999"/>
      </x:right>
      <x:top style="medium">
        <x:color theme="0" tint="-0.34999"/>
      </x:top>
    </x:border>
    <x:border>
      <x:left style="thin">
        <x:color theme="0" tint="-0.24998"/>
      </x:left>
      <x:right style="hair">
        <x:color theme="0" tint="-0.34999"/>
      </x:right>
      <x:bottom style="thin">
        <x:color theme="0" tint="-0.24998"/>
      </x:bottom>
    </x:border>
    <x:border>
      <x:left style="thin">
        <x:color theme="0" tint="-0.24998"/>
      </x:left>
      <x:right style="hair">
        <x:color theme="0" tint="-0.34999"/>
      </x:right>
      <x:top style="thin">
        <x:color theme="0" tint="-0.24998"/>
      </x:top>
      <x:bottom style="thin">
        <x:color theme="0" tint="-0.24998"/>
      </x:bottom>
    </x:border>
    <x:border>
      <x:left style="thin">
        <x:color theme="0" tint="-0.24998"/>
      </x:left>
      <x:right style="hair">
        <x:color theme="0" tint="-0.34999"/>
      </x:right>
      <x:top style="thin">
        <x:color theme="0" tint="-0.24998"/>
      </x:top>
      <x:bottom style="medium">
        <x:color theme="0" tint="-0.34999"/>
      </x:bottom>
    </x:border>
    <x:border>
      <x:left style="medium">
        <x:color theme="0" tint="-0.24998"/>
      </x:left>
      <x:top style="medium">
        <x:color theme="0" tint="-0.24998"/>
      </x:top>
      <x:bottom style="medium">
        <x:color theme="0" tint="-0.34999"/>
      </x:bottom>
    </x:border>
    <x:border>
      <x:top style="medium">
        <x:color theme="0" tint="-0.24998"/>
      </x:top>
      <x:bottom style="medium">
        <x:color theme="0" tint="-0.34999"/>
      </x:bottom>
    </x:border>
    <x:border>
      <x:right style="medium">
        <x:color theme="0" tint="-0.24998"/>
      </x:right>
      <x:top style="medium">
        <x:color theme="0" tint="-0.24998"/>
      </x:top>
      <x:bottom style="medium">
        <x:color theme="0" tint="-0.34999"/>
      </x:bottom>
    </x:border>
    <x:border>
      <x:top style="medium">
        <x:color theme="0" tint="-0.34999"/>
      </x:top>
      <x:bottom style="thin">
        <x:color theme="0" tint="-0.24998"/>
      </x:bottom>
    </x:border>
    <x:border>
      <x:right style="medium">
        <x:color theme="0" tint="-0.24998"/>
      </x:right>
      <x:top style="medium">
        <x:color theme="0" tint="-0.34999"/>
      </x:top>
      <x:bottom style="thin">
        <x:color theme="0" tint="-0.24998"/>
      </x:bottom>
    </x:border>
    <x:border>
      <x:left style="medium">
        <x:color theme="0" tint="-0.24998"/>
      </x:left>
      <x:top style="medium">
        <x:color theme="0" tint="-0.34999"/>
      </x:top>
      <x:bottom style="thin">
        <x:color theme="0" tint="-0.24998"/>
      </x:bottom>
    </x:border>
    <x:border/>
    <x:border>
      <x:left style="medium">
        <x:color theme="0" tint="-0.34999"/>
      </x:left>
      <x:top style="medium">
        <x:color theme="0" tint="-0.34999"/>
      </x:top>
    </x:border>
    <x:border>
      <x:left style="thin">
        <x:color theme="0" tint="-0.34999"/>
      </x:left>
      <x:right style="thin">
        <x:color theme="0" tint="-0.34999"/>
      </x:right>
      <x:top style="medium">
        <x:color theme="0" tint="-0.34999"/>
      </x:top>
    </x:border>
    <x:border>
      <x:left style="medium">
        <x:color theme="0" tint="-0.34999"/>
      </x:left>
      <x:bottom style="double">
        <x:color theme="0" tint="-0.34999"/>
      </x:bottom>
    </x:border>
    <x:border>
      <x:left style="thin">
        <x:color theme="0" tint="-0.34999"/>
      </x:left>
      <x:right style="thin">
        <x:color theme="0" tint="-0.34999"/>
      </x:right>
      <x:bottom style="double">
        <x:color theme="0" tint="-0.34999"/>
      </x:bottom>
    </x:border>
    <x:border>
      <x:right style="thin">
        <x:color theme="0" tint="-0.24998"/>
      </x:right>
      <x:top style="thin">
        <x:color theme="0" tint="-0.24998"/>
      </x:top>
      <x:bottom style="double">
        <x:color theme="0" tint="-0.24998"/>
      </x:bottom>
    </x:border>
    <x:border>
      <x:left style="thin">
        <x:color theme="0" tint="-0.24998"/>
      </x:left>
      <x:right style="thin">
        <x:color theme="0" tint="-0.24998"/>
      </x:right>
      <x:top style="thin">
        <x:color theme="0" tint="-0.24998"/>
      </x:top>
      <x:bottom style="double">
        <x:color theme="0" tint="-0.24998"/>
      </x:bottom>
    </x:border>
    <x:border>
      <x:left style="medium">
        <x:color theme="0" tint="-0.24998"/>
      </x:left>
      <x:right style="thin">
        <x:color theme="0" tint="-0.24998"/>
      </x:right>
      <x:top style="thin">
        <x:color theme="0" tint="-0.24998"/>
      </x:top>
      <x:bottom style="double">
        <x:color theme="0" tint="-0.24998"/>
      </x:bottom>
    </x:border>
    <x:border>
      <x:left style="medium">
        <x:color theme="0" tint="-0.24998"/>
      </x:left>
      <x:right style="thin">
        <x:color theme="0" tint="-0.24998"/>
      </x:right>
      <x:top style="thin">
        <x:color theme="0" tint="-0.24998"/>
      </x:top>
      <x:bottom style="thin">
        <x:color theme="0" tint="-0.24998"/>
      </x:bottom>
    </x:border>
    <x:border>
      <x:left style="thin">
        <x:color theme="0" tint="-0.24998"/>
      </x:left>
      <x:right style="thin">
        <x:color theme="0" tint="-0.24998"/>
      </x:right>
      <x:top style="thin">
        <x:color theme="0" tint="-0.24998"/>
      </x:top>
      <x:bottom style="thin">
        <x:color theme="0" tint="-0.24998"/>
      </x:bottom>
    </x:border>
    <x:border>
      <x:left style="medium">
        <x:color theme="0" tint="-0.24998"/>
      </x:left>
      <x:right style="thin">
        <x:color theme="0" tint="-0.24998"/>
      </x:right>
      <x:top style="thin">
        <x:color theme="0" tint="-0.24998"/>
      </x:top>
      <x:bottom style="medium">
        <x:color theme="0" tint="-0.34999"/>
      </x:bottom>
    </x:border>
    <x:border>
      <x:left style="thin">
        <x:color theme="0" tint="-0.24998"/>
      </x:left>
      <x:right style="thin">
        <x:color theme="0" tint="-0.24998"/>
      </x:right>
      <x:top style="thin">
        <x:color theme="0" tint="-0.24998"/>
      </x:top>
      <x:bottom style="medium">
        <x:color theme="0" tint="-0.34999"/>
      </x:bottom>
    </x:border>
    <x:border>
      <x:left style="medium">
        <x:color theme="0" tint="-0.34999"/>
      </x:left>
      <x:bottom style="thin">
        <x:color theme="0" tint="-0.24998"/>
      </x:bottom>
    </x:border>
    <x:border>
      <x:left style="medium">
        <x:color theme="0" tint="-0.24998"/>
      </x:left>
      <x:right style="thin">
        <x:color theme="0" tint="-0.24998"/>
      </x:right>
      <x:bottom style="thin">
        <x:color theme="0" tint="-0.24998"/>
      </x:bottom>
    </x:border>
    <x:border>
      <x:left style="thin">
        <x:color theme="0" tint="-0.24998"/>
      </x:left>
      <x:right style="thin">
        <x:color theme="0" tint="-0.24998"/>
      </x:right>
      <x:bottom style="thin">
        <x:color theme="0" tint="-0.24998"/>
      </x:bottom>
    </x:border>
    <x:border>
      <x:left style="medium">
        <x:color theme="0" tint="-0.34999"/>
      </x:left>
      <x:top style="thin">
        <x:color theme="0" tint="-0.24998"/>
      </x:top>
      <x:bottom style="thin">
        <x:color theme="0" tint="-0.24998"/>
      </x:bottom>
    </x:border>
    <x:border>
      <x:right style="thin">
        <x:color theme="0" tint="-0.24998"/>
      </x:right>
      <x:top style="thin">
        <x:color theme="0" tint="-0.24998"/>
      </x:top>
      <x:bottom style="thin">
        <x:color theme="0" tint="-0.24998"/>
      </x:bottom>
    </x:border>
    <x:border>
      <x:right style="thin">
        <x:color theme="0" tint="-0.24998"/>
      </x:right>
      <x:top style="thin">
        <x:color theme="0" tint="-0.24998"/>
      </x:top>
      <x:bottom style="medium">
        <x:color theme="0" tint="-0.34999"/>
      </x:bottom>
    </x:border>
    <x:border>
      <x:left style="thin">
        <x:color theme="0" tint="-0.34999"/>
      </x:left>
      <x:right style="medium">
        <x:color theme="0" tint="-0.34999"/>
      </x:right>
      <x:top style="medium">
        <x:color theme="0" tint="-0.34999"/>
      </x:top>
    </x:border>
    <x:border>
      <x:left style="thin">
        <x:color theme="0" tint="-0.34999"/>
      </x:left>
      <x:right style="medium">
        <x:color theme="0" tint="-0.34999"/>
      </x:right>
      <x:bottom style="double">
        <x:color theme="0" tint="-0.34999"/>
      </x:bottom>
    </x:border>
    <x:border>
      <x:left style="thin">
        <x:color theme="0" tint="-0.24998"/>
      </x:left>
      <x:right style="medium">
        <x:color theme="0" tint="-0.34999"/>
      </x:right>
      <x:bottom style="thin">
        <x:color theme="0" tint="-0.24998"/>
      </x:bottom>
    </x:border>
    <x:border>
      <x:left style="thin">
        <x:color theme="0" tint="-0.24998"/>
      </x:left>
      <x:right style="medium">
        <x:color theme="0" tint="-0.34999"/>
      </x:right>
      <x:top style="thin">
        <x:color theme="0" tint="-0.24998"/>
      </x:top>
      <x:bottom style="thin">
        <x:color theme="0" tint="-0.24998"/>
      </x:bottom>
    </x:border>
    <x:border>
      <x:left style="thin">
        <x:color theme="0" tint="-0.24998"/>
      </x:left>
      <x:right style="medium">
        <x:color theme="0" tint="-0.34999"/>
      </x:right>
      <x:top style="thin">
        <x:color theme="0" tint="-0.24998"/>
      </x:top>
      <x:bottom style="medium">
        <x:color theme="0" tint="-0.34999"/>
      </x:bottom>
    </x:border>
    <x:border>
      <x:right style="thin">
        <x:color theme="0" tint="-0.34999"/>
      </x:right>
      <x:top style="thin">
        <x:color theme="0" tint="-0.34999"/>
      </x:top>
      <x:bottom style="thin">
        <x:color theme="0" tint="-0.34999"/>
      </x:bottom>
    </x:border>
    <x:border>
      <x:right style="thin">
        <x:color theme="0" tint="-0.34999"/>
      </x:right>
      <x:bottom style="thin">
        <x:color theme="0" tint="-0.34999"/>
      </x:bottom>
    </x:border>
    <x:border>
      <x:left style="thin">
        <x:color theme="0" tint="-0.34999"/>
      </x:left>
      <x:right style="hair">
        <x:color theme="0" tint="-0.34999"/>
      </x:right>
      <x:top style="thin">
        <x:color theme="0" tint="-0.34999"/>
      </x:top>
      <x:bottom style="thin">
        <x:color theme="0" tint="-0.34999"/>
      </x:bottom>
    </x:border>
    <x:border>
      <x:left style="thin">
        <x:color theme="0" tint="-0.34999"/>
      </x:left>
      <x:right style="hair">
        <x:color theme="0" tint="-0.34999"/>
      </x:right>
      <x:bottom style="thin">
        <x:color theme="0" tint="-0.34999"/>
      </x:bottom>
    </x:border>
    <x:border>
      <x:left style="thin">
        <x:color theme="0" tint="-0.34999"/>
      </x:left>
      <x:right style="hair">
        <x:color theme="0" tint="-0.34999"/>
      </x:right>
      <x:bottom style="double">
        <x:color theme="0" tint="-0.34999"/>
      </x:bottom>
    </x:border>
    <x:border>
      <x:right style="thin">
        <x:color theme="0" tint="-0.34999"/>
      </x:right>
      <x:bottom style="double">
        <x:color theme="0" tint="-0.34999"/>
      </x:bottom>
    </x:border>
    <x:border>
      <x:right style="thin">
        <x:color theme="0" tint="-0.24998"/>
      </x:right>
      <x:bottom style="thin">
        <x:color theme="0" tint="-0.24998"/>
      </x:bottom>
    </x:border>
    <x:border>
      <x:left style="thin">
        <x:color theme="0" tint="-0.24998"/>
      </x:left>
      <x:right style="hair">
        <x:color theme="0" tint="-0.34999"/>
      </x:right>
      <x:bottom style="thin">
        <x:color theme="0" tint="-0.24998"/>
      </x:bottom>
    </x:border>
    <x:border>
      <x:left style="thin">
        <x:color theme="0" tint="-0.24998"/>
      </x:left>
      <x:right style="hair">
        <x:color theme="0" tint="-0.34999"/>
      </x:right>
      <x:top style="thin">
        <x:color theme="0" tint="-0.24998"/>
      </x:top>
      <x:bottom style="thin">
        <x:color theme="0" tint="-0.24998"/>
      </x:bottom>
    </x:border>
    <x:border>
      <x:left style="thin">
        <x:color theme="0" tint="-0.24998"/>
      </x:left>
      <x:right style="hair">
        <x:color theme="0" tint="-0.34999"/>
      </x:right>
      <x:top style="thin">
        <x:color theme="0" tint="-0.24998"/>
      </x:top>
      <x:bottom style="medium">
        <x:color theme="0" tint="-0.34999"/>
      </x:bottom>
    </x:border>
    <x:border>
      <x:left style="thin">
        <x:color theme="0" tint="-0.34999"/>
      </x:left>
      <x:right style="hair">
        <x:color theme="0" tint="-0.34999"/>
      </x:right>
      <x:top style="medium">
        <x:color theme="0" tint="-0.34999"/>
      </x:top>
    </x:border>
    <x:border>
      <x:right style="thin">
        <x:color theme="0" tint="-0.34999"/>
      </x:right>
      <x:top style="medium">
        <x:color theme="0" tint="-0.34999"/>
      </x:top>
    </x:border>
    <x:border>
      <x:left style="medium">
        <x:color theme="0" tint="-0.24998"/>
      </x:left>
      <x:top style="medium">
        <x:color theme="0" tint="-0.24998"/>
      </x:top>
      <x:bottom style="medium">
        <x:color theme="0" tint="-0.34999"/>
      </x:bottom>
    </x:border>
    <x:border>
      <x:left style="medium">
        <x:color theme="0" tint="-0.24998"/>
      </x:left>
      <x:right style="thin">
        <x:color theme="0" tint="-0.24998"/>
      </x:right>
      <x:top style="medium">
        <x:color theme="0" tint="-0.34999"/>
      </x:top>
      <x:bottom style="thin">
        <x:color theme="0" tint="-0.24998"/>
      </x:bottom>
    </x:border>
    <x:border>
      <x:left style="thin">
        <x:color theme="0" tint="-0.24998"/>
      </x:left>
      <x:right style="thin">
        <x:color theme="0" tint="-0.24998"/>
      </x:right>
      <x:top style="medium">
        <x:color theme="0" tint="-0.34999"/>
      </x:top>
      <x:bottom style="thin">
        <x:color theme="0" tint="-0.24998"/>
      </x:bottom>
    </x:border>
    <x:border>
      <x:right style="thin">
        <x:color theme="0" tint="-0.24998"/>
      </x:right>
      <x:top style="medium">
        <x:color theme="0" tint="-0.34999"/>
      </x:top>
      <x:bottom style="thin">
        <x:color theme="0" tint="-0.24998"/>
      </x:bottom>
    </x:border>
    <x:border>
      <x:left style="medium">
        <x:color theme="0" tint="-0.24998"/>
      </x:left>
      <x:top style="medium">
        <x:color theme="0" tint="-0.34999"/>
      </x:top>
      <x:bottom style="thin">
        <x:color theme="0" tint="-0.24998"/>
      </x:bottom>
    </x:border>
    <x:border>
      <x:top style="medium">
        <x:color theme="0" tint="-0.34999"/>
      </x:top>
      <x:bottom style="thin">
        <x:color theme="0" tint="-0.24998"/>
      </x:bottom>
    </x:border>
    <x:border>
      <x:right style="medium">
        <x:color theme="0" tint="-0.24998"/>
      </x:right>
      <x:top style="medium">
        <x:color theme="0" tint="-0.34999"/>
      </x:top>
      <x:bottom style="thin">
        <x:color theme="0" tint="-0.24998"/>
      </x:bottom>
    </x:border>
    <x:border>
      <x:top style="medium">
        <x:color theme="0" tint="-0.24998"/>
      </x:top>
      <x:bottom style="medium">
        <x:color theme="0" tint="-0.34999"/>
      </x:bottom>
    </x:border>
    <x:border>
      <x:right style="medium">
        <x:color theme="0" tint="-0.24998"/>
      </x:right>
      <x:top style="medium">
        <x:color theme="0" tint="-0.24998"/>
      </x:top>
      <x:bottom style="medium">
        <x:color theme="0" tint="-0.34999"/>
      </x:bottom>
    </x:border>
  </x:borders>
  <x:cellStyleXfs count="3">
    <x:xf numFmtId="0" fontId="0" fillId="0" borderId="0"/>
    <x:xf numFmtId="9" fontId="1" fillId="0" borderId="0" applyFont="0" applyFill="0" applyBorder="0" applyAlignment="0" applyProtection="0"/>
    <x:xf numFmtId="0" fontId="10" fillId="0" borderId="0"/>
  </x:cellStyleXfs>
  <x:cellXfs count="448">
    <x:xf numFmtId="0" fontId="0" fillId="0" borderId="0" xfId="0"/>
    <x:xf numFmtId="0" fontId="2" fillId="0" borderId="0" xfId="0" applyFont="1"/>
    <x:xf numFmtId="0" fontId="2" fillId="0" borderId="0" xfId="0" applyFont="1" applyAlignment="1">
      <x:alignment horizontal="left" vertical="center" wrapText="1"/>
    </x:xf>
    <x:xf numFmtId="0" fontId="3" fillId="0" borderId="0" xfId="0" applyFont="1"/>
    <x:xf numFmtId="0" fontId="5" fillId="0" borderId="0" xfId="0" applyFont="1"/>
    <x:xf numFmtId="0" fontId="6" fillId="0" borderId="0" xfId="0" applyFont="1" applyAlignment="1">
      <x:alignment horizontal="left" vertical="center"/>
    </x:xf>
    <x:xf numFmtId="0" fontId="7" fillId="8" borderId="8" xfId="0" applyFont="1" applyFill="1" applyBorder="1" applyAlignment="1">
      <x:alignment horizontal="left" wrapText="1"/>
    </x:xf>
    <x:xf numFmtId="0" fontId="7" fillId="8" borderId="11" xfId="0" applyFont="1" applyFill="1" applyBorder="1" applyAlignment="1">
      <x:alignment horizontal="left" wrapText="1"/>
    </x:xf>
    <x:xf numFmtId="0" fontId="7" fillId="8" borderId="11" xfId="0" applyFont="1" applyFill="1" applyBorder="1" applyAlignment="1">
      <x:alignment horizontal="center" wrapText="1"/>
    </x:xf>
    <x:xf numFmtId="0" fontId="7" fillId="8" borderId="9" xfId="0" applyFont="1" applyFill="1" applyBorder="1" applyAlignment="1">
      <x:alignment horizontal="left" vertical="top" wrapText="1"/>
    </x:xf>
    <x:xf numFmtId="0" fontId="7" fillId="8" borderId="10" xfId="0" applyFont="1" applyFill="1" applyBorder="1" applyAlignment="1">
      <x:alignment horizontal="left" vertical="top" wrapText="1"/>
    </x:xf>
    <x:xf numFmtId="0" fontId="7" fillId="8" borderId="10" xfId="0" applyFont="1" applyFill="1" applyBorder="1" applyAlignment="1">
      <x:alignment horizontal="center" vertical="top" wrapText="1"/>
    </x:xf>
    <x:xf numFmtId="0" fontId="8" fillId="12" borderId="7" xfId="0" applyFont="1" applyFill="1" applyBorder="1" applyAlignment="1">
      <x:alignment horizontal="center" vertical="center"/>
    </x:xf>
    <x:xf numFmtId="0" fontId="8" fillId="12" borderId="6" xfId="0" applyFont="1" applyFill="1" applyBorder="1" applyAlignment="1">
      <x:alignment horizontal="center" vertical="center"/>
    </x:xf>
    <x:xf numFmtId="0" fontId="8" fillId="16" borderId="5" xfId="0" applyFont="1" applyFill="1" applyBorder="1" applyAlignment="1">
      <x:alignment horizontal="center" vertical="center"/>
    </x:xf>
    <x:xf numFmtId="0" fontId="8" fillId="16" borderId="6" xfId="0" applyFont="1" applyFill="1" applyBorder="1" applyAlignment="1">
      <x:alignment horizontal="center" vertical="center"/>
    </x:xf>
    <x:xf numFmtId="0" fontId="8" fillId="6" borderId="5" xfId="0" applyFont="1" applyFill="1" applyBorder="1" applyAlignment="1">
      <x:alignment horizontal="center" vertical="center"/>
    </x:xf>
    <x:xf numFmtId="0" fontId="8" fillId="6" borderId="6" xfId="0" applyFont="1" applyFill="1" applyBorder="1" applyAlignment="1">
      <x:alignment horizontal="center" vertical="center"/>
    </x:xf>
    <x:xf numFmtId="0" fontId="5" fillId="8" borderId="2" xfId="0" applyFont="1" applyFill="1" applyBorder="1"/>
    <x:xf numFmtId="0" fontId="5" fillId="8" borderId="1" xfId="0" applyFont="1" applyFill="1" applyBorder="1"/>
    <x:xf numFmtId="0" fontId="5" fillId="0" borderId="2" xfId="0" applyFont="1" applyBorder="1"/>
    <x:xf numFmtId="0" fontId="5" fillId="0" borderId="1" xfId="0" applyFont="1" applyBorder="1"/>
    <x:xf numFmtId="0" fontId="5" fillId="13" borderId="1" xfId="0" applyFont="1" applyFill="1" applyBorder="1"/>
    <x:xf numFmtId="0" fontId="5" fillId="17" borderId="1" xfId="0" applyFont="1" applyFill="1" applyBorder="1"/>
    <x:xf numFmtId="0" fontId="5" fillId="7" borderId="1" xfId="0" applyFont="1" applyFill="1" applyBorder="1"/>
    <x:xf numFmtId="0" fontId="5" fillId="0" borderId="18" xfId="0" applyFont="1" applyBorder="1"/>
    <x:xf numFmtId="0" fontId="5" fillId="0" borderId="19" xfId="0" applyFont="1" applyBorder="1"/>
    <x:xf numFmtId="0" fontId="5" fillId="13" borderId="19" xfId="0" applyFont="1" applyFill="1" applyBorder="1"/>
    <x:xf numFmtId="0" fontId="5" fillId="17" borderId="19" xfId="0" applyFont="1" applyFill="1" applyBorder="1"/>
    <x:xf numFmtId="0" fontId="5" fillId="7" borderId="19" xfId="0" applyFont="1" applyFill="1" applyBorder="1"/>
    <x:xf numFmtId="0" fontId="8" fillId="18" borderId="5" xfId="0" applyFont="1" applyFill="1" applyBorder="1" applyAlignment="1">
      <x:alignment horizontal="center" vertical="center"/>
    </x:xf>
    <x:xf numFmtId="0" fontId="8" fillId="18" borderId="6" xfId="0" applyFont="1" applyFill="1" applyBorder="1" applyAlignment="1">
      <x:alignment horizontal="center" vertical="center"/>
    </x:xf>
    <x:xf numFmtId="0" fontId="5" fillId="9" borderId="1" xfId="0" applyFont="1" applyFill="1" applyBorder="1"/>
    <x:xf numFmtId="0" fontId="5" fillId="9" borderId="19" xfId="0" applyFont="1" applyFill="1" applyBorder="1"/>
    <x:xf numFmtId="0" fontId="5" fillId="0" borderId="0" xfId="0" applyFont="1" applyAlignment="1">
      <x:alignment horizontal="left" vertical="center" wrapText="1"/>
    </x:xf>
    <x:xf numFmtId="0" fontId="9" fillId="19" borderId="0" xfId="0" applyFont="1" applyFill="1" applyAlignment="1">
      <x:alignment vertical="center"/>
    </x:xf>
    <x:xf numFmtId="0" fontId="5" fillId="19" borderId="0" xfId="0" applyFont="1" applyFill="1" applyAlignment="1">
      <x:alignment horizontal="left" vertical="center" wrapText="1"/>
    </x:xf>
    <x:xf numFmtId="49" fontId="5" fillId="9" borderId="15" xfId="0" applyNumberFormat="1" applyFont="1" applyFill="1" applyBorder="1" applyAlignment="1">
      <x:alignment horizontal="left" vertical="center"/>
    </x:xf>
    <x:xf numFmtId="0" fontId="5" fillId="8" borderId="3" xfId="0" applyFont="1" applyFill="1" applyBorder="1" applyAlignment="1">
      <x:alignment horizontal="left" vertical="center"/>
    </x:xf>
    <x:xf numFmtId="0" fontId="5" fillId="8" borderId="4" xfId="0" applyFont="1" applyFill="1" applyBorder="1" applyAlignment="1">
      <x:alignment horizontal="left" vertical="center"/>
    </x:xf>
    <x:xf numFmtId="1" fontId="5" fillId="8" borderId="4" xfId="0" applyNumberFormat="1" applyFont="1" applyFill="1" applyBorder="1" applyAlignment="1">
      <x:alignment horizontal="center" vertical="center"/>
    </x:xf>
    <x:xf numFmtId="49" fontId="5" fillId="9" borderId="17" xfId="0" applyNumberFormat="1" applyFont="1" applyFill="1" applyBorder="1" applyAlignment="1">
      <x:alignment horizontal="left" vertical="center"/>
    </x:xf>
    <x:xf numFmtId="0" fontId="5" fillId="0" borderId="2" xfId="0" applyFont="1" applyBorder="1" applyAlignment="1">
      <x:alignment horizontal="left" vertical="center"/>
    </x:xf>
    <x:xf numFmtId="0" fontId="5" fillId="0" borderId="1" xfId="0" applyFont="1" applyBorder="1" applyAlignment="1">
      <x:alignment horizontal="left" vertical="center"/>
    </x:xf>
    <x:xf numFmtId="0" fontId="5" fillId="0" borderId="2" xfId="0" applyFont="1" applyBorder="1" applyAlignment="1">
      <x:alignment horizontal="left" vertical="center"/>
    </x:xf>
    <x:xf numFmtId="0" fontId="5" fillId="0" borderId="1" xfId="0" applyFont="1" applyBorder="1" applyAlignment="1">
      <x:alignment horizontal="left" vertical="center"/>
    </x:xf>
    <x:xf numFmtId="0" fontId="5" fillId="8" borderId="2" xfId="0" applyFont="1" applyFill="1" applyBorder="1" applyAlignment="1">
      <x:alignment horizontal="left" vertical="center"/>
    </x:xf>
    <x:xf numFmtId="0" fontId="5" fillId="8" borderId="1" xfId="0" applyFont="1" applyFill="1" applyBorder="1" applyAlignment="1">
      <x:alignment horizontal="left" vertical="center"/>
    </x:xf>
    <x:xf numFmtId="1" fontId="5" fillId="8" borderId="1" xfId="0" applyNumberFormat="1" applyFont="1" applyFill="1" applyBorder="1" applyAlignment="1">
      <x:alignment horizontal="center" vertical="center"/>
    </x:xf>
    <x:xf numFmtId="0" fontId="5" fillId="0" borderId="19" xfId="0" applyFont="1" applyBorder="1" applyAlignment="1">
      <x:alignment horizontal="left" vertical="center"/>
    </x:xf>
    <x:xf numFmtId="0" fontId="5" fillId="8" borderId="21" xfId="0" applyFont="1" applyFill="1" applyBorder="1"/>
    <x:xf numFmtId="0" fontId="5" fillId="0" borderId="21" xfId="0" applyFont="1" applyBorder="1"/>
    <x:xf numFmtId="0" fontId="5" fillId="0" borderId="22" xfId="0" applyFont="1" applyBorder="1"/>
    <x:xf numFmtId="0" fontId="7" fillId="8" borderId="23" xfId="0" applyFont="1" applyFill="1" applyBorder="1" applyAlignment="1">
      <x:alignment horizontal="center" wrapText="1"/>
    </x:xf>
    <x:xf numFmtId="0" fontId="7" fillId="8" borderId="24" xfId="0" applyFont="1" applyFill="1" applyBorder="1" applyAlignment="1">
      <x:alignment horizontal="center" vertical="top" wrapText="1"/>
    </x:xf>
    <x:xf numFmtId="9" fontId="8" fillId="8" borderId="25" xfId="1" applyFont="1" applyFill="1" applyBorder="1" applyAlignment="1">
      <x:alignment horizontal="center" vertical="center"/>
    </x:xf>
    <x:xf numFmtId="9" fontId="8" fillId="0" borderId="16" xfId="1" applyFont="1" applyBorder="1" applyAlignment="1">
      <x:alignment horizontal="center" vertical="center"/>
    </x:xf>
    <x:xf numFmtId="9" fontId="8" fillId="8" borderId="16" xfId="1" applyFont="1" applyFill="1" applyBorder="1" applyAlignment="1">
      <x:alignment horizontal="center" vertical="center"/>
    </x:xf>
    <x:xf numFmtId="9" fontId="8" fillId="0" borderId="20" xfId="1" applyFont="1" applyBorder="1" applyAlignment="1">
      <x:alignment horizontal="center" vertical="center"/>
    </x:xf>
    <x:xf numFmtId="165" fontId="5" fillId="9" borderId="27" xfId="0" applyNumberFormat="1" applyFont="1" applyFill="1" applyBorder="1" applyAlignment="1">
      <x:alignment horizontal="center" vertical="center" wrapText="1"/>
    </x:xf>
    <x:xf numFmtId="0" fontId="5" fillId="0" borderId="29" xfId="0" applyFont="1" applyBorder="1" applyAlignment="1">
      <x:alignment horizontal="left" vertical="center" wrapText="1"/>
    </x:xf>
    <x:xf numFmtId="0" fontId="7" fillId="13" borderId="26" xfId="0" applyFont="1" applyFill="1" applyBorder="1" applyAlignment="1">
      <x:alignment horizontal="left" vertical="center" wrapText="1"/>
    </x:xf>
    <x:xf numFmtId="0" fontId="7" fillId="13" borderId="26" xfId="0" applyFont="1" applyFill="1" applyBorder="1" applyAlignment="1">
      <x:alignment horizontal="left" vertical="center"/>
    </x:xf>
    <x:xf numFmtId="0" fontId="7" fillId="13" borderId="28" xfId="0" applyFont="1" applyFill="1" applyBorder="1" applyAlignment="1">
      <x:alignment horizontal="left" vertical="center" wrapText="1"/>
    </x:xf>
    <x:xf numFmtId="0" fontId="7" fillId="13" borderId="30" xfId="0" applyFont="1" applyFill="1" applyBorder="1" applyAlignment="1">
      <x:alignment horizontal="left" vertical="center" wrapText="1"/>
    </x:xf>
    <x:xf numFmtId="0" fontId="5" fillId="0" borderId="31" xfId="0" applyFont="1" applyBorder="1" applyAlignment="1">
      <x:alignment horizontal="left" vertical="center" wrapText="1"/>
    </x:xf>
    <x:xf numFmtId="0" fontId="5" fillId="9" borderId="27" xfId="0" applyFont="1" applyFill="1" applyBorder="1" applyAlignment="1">
      <x:alignment horizontal="left" vertical="center" wrapText="1"/>
    </x:xf>
    <x:xf numFmtId="14" fontId="5" fillId="8" borderId="33" xfId="0" applyNumberFormat="1" applyFont="1" applyFill="1" applyBorder="1" applyAlignment="1">
      <x:alignment horizontal="center" vertical="center"/>
    </x:xf>
    <x:xf numFmtId="164" fontId="5" fillId="8" borderId="21" xfId="0" applyNumberFormat="1" applyFont="1" applyFill="1" applyBorder="1" applyAlignment="1">
      <x:alignment horizontal="center" vertical="center"/>
    </x:xf>
    <x:xf numFmtId="14" fontId="5" fillId="8" borderId="35" xfId="0" applyNumberFormat="1" applyFont="1" applyFill="1" applyBorder="1" applyAlignment="1">
      <x:alignment horizontal="center" vertical="center"/>
    </x:xf>
    <x:xf numFmtId="164" fontId="5" fillId="0" borderId="36" xfId="0" applyNumberFormat="1" applyFont="1" applyBorder="1" applyAlignment="1">
      <x:alignment horizontal="center" vertical="center"/>
    </x:xf>
    <x:xf numFmtId="164" fontId="5" fillId="8" borderId="36" xfId="0" applyNumberFormat="1" applyFont="1" applyFill="1" applyBorder="1" applyAlignment="1">
      <x:alignment horizontal="center" vertical="center"/>
    </x:xf>
    <x:xf numFmtId="164" fontId="5" fillId="0" borderId="37" xfId="0" applyNumberFormat="1" applyFont="1" applyBorder="1" applyAlignment="1">
      <x:alignment horizontal="center" vertical="center"/>
    </x:xf>
    <x:xf numFmtId="164" fontId="5" fillId="13" borderId="21" xfId="0" applyNumberFormat="1" applyFont="1" applyFill="1" applyBorder="1" applyAlignment="1">
      <x:alignment horizontal="center" vertical="center"/>
    </x:xf>
    <x:xf numFmtId="164" fontId="5" fillId="13" borderId="22" xfId="0" applyNumberFormat="1" applyFont="1" applyFill="1" applyBorder="1" applyAlignment="1">
      <x:alignment horizontal="center" vertical="center"/>
    </x:xf>
    <x:xf numFmtId="1" fontId="5" fillId="9" borderId="1" xfId="0" applyNumberFormat="1" applyFont="1" applyFill="1" applyBorder="1" applyAlignment="1">
      <x:alignment horizontal="center" vertical="center"/>
    </x:xf>
    <x:xf numFmtId="1" fontId="5" fillId="9" borderId="19" xfId="0" applyNumberFormat="1" applyFont="1" applyFill="1" applyBorder="1" applyAlignment="1">
      <x:alignment horizontal="center" vertical="center"/>
    </x:xf>
    <x:xf numFmtId="0" fontId="7" fillId="8" borderId="34" xfId="0" applyFont="1" applyFill="1" applyBorder="1" applyAlignment="1">
      <x:alignment horizontal="center" wrapText="1"/>
    </x:xf>
    <x:xf numFmtId="0" fontId="7" fillId="8" borderId="32" xfId="0" applyFont="1" applyFill="1" applyBorder="1" applyAlignment="1">
      <x:alignment horizontal="center" wrapText="1"/>
    </x:xf>
    <x:xf numFmtId="0" fontId="7" fillId="8" borderId="30" xfId="0" applyFont="1" applyFill="1" applyBorder="1" applyAlignment="1">
      <x:alignment horizontal="center" vertical="top" wrapText="1"/>
    </x:xf>
    <x:xf numFmtId="0" fontId="7" fillId="8" borderId="31" xfId="0" applyFont="1" applyFill="1" applyBorder="1" applyAlignment="1">
      <x:alignment horizontal="center" vertical="top" wrapText="1"/>
    </x:xf>
    <x:xf numFmtId="0" fontId="8" fillId="21" borderId="5" xfId="0" applyFont="1" applyFill="1" applyBorder="1" applyAlignment="1">
      <x:alignment horizontal="center" vertical="center"/>
    </x:xf>
    <x:xf numFmtId="0" fontId="8" fillId="21" borderId="6" xfId="0" applyFont="1" applyFill="1" applyBorder="1" applyAlignment="1">
      <x:alignment horizontal="center" vertical="center"/>
    </x:xf>
    <x:xf numFmtId="0" fontId="4" fillId="22" borderId="38" xfId="0" applyFont="1" applyFill="1" applyBorder="1" applyAlignment="1">
      <x:alignment vertical="center"/>
    </x:xf>
    <x:xf numFmtId="0" fontId="4" fillId="20" borderId="14" xfId="0" applyFont="1" applyFill="1" applyBorder="1" applyAlignment="1">
      <x:alignment vertical="center"/>
    </x:xf>
    <x:xf numFmtId="0" fontId="4" fillId="3" borderId="14" xfId="0" applyFont="1" applyFill="1" applyBorder="1" applyAlignment="1">
      <x:alignment horizontal="center" vertical="center"/>
    </x:xf>
    <x:xf numFmtId="0" fontId="4" fillId="3" borderId="13" xfId="0" applyFont="1" applyFill="1" applyBorder="1" applyAlignment="1">
      <x:alignment horizontal="center" vertical="center"/>
    </x:xf>
    <x:xf numFmtId="0" fontId="4" fillId="5" borderId="14" xfId="0" applyFont="1" applyFill="1" applyBorder="1" applyAlignment="1">
      <x:alignment horizontal="center" vertical="center"/>
    </x:xf>
    <x:xf numFmtId="0" fontId="4" fillId="5" borderId="13" xfId="0" applyFont="1" applyFill="1" applyBorder="1" applyAlignment="1">
      <x:alignment horizontal="center" vertical="center"/>
    </x:xf>
    <x:xf numFmtId="0" fontId="4" fillId="11" borderId="12" xfId="0" applyFont="1" applyFill="1" applyBorder="1" applyAlignment="1">
      <x:alignment horizontal="center" vertical="center"/>
    </x:xf>
    <x:xf numFmtId="0" fontId="4" fillId="11" borderId="13" xfId="0" applyFont="1" applyFill="1" applyBorder="1" applyAlignment="1">
      <x:alignment horizontal="center" vertical="center"/>
    </x:xf>
    <x:xf numFmtId="0" fontId="4" fillId="15" borderId="14" xfId="0" applyFont="1" applyFill="1" applyBorder="1" applyAlignment="1">
      <x:alignment horizontal="center" vertical="center"/>
    </x:xf>
    <x:xf numFmtId="0" fontId="4" fillId="15" borderId="13" xfId="0" applyFont="1" applyFill="1" applyBorder="1" applyAlignment="1">
      <x:alignment horizontal="center" vertical="center"/>
    </x:xf>
    <x:xf numFmtId="0" fontId="4" fillId="20" borderId="43" xfId="0" applyFont="1" applyFill="1" applyBorder="1" applyAlignment="1">
      <x:alignment horizontal="center" vertical="center"/>
    </x:xf>
    <x:xf numFmtId="0" fontId="4" fillId="20" borderId="41" xfId="0" applyFont="1" applyFill="1" applyBorder="1" applyAlignment="1">
      <x:alignment horizontal="center" vertical="center"/>
    </x:xf>
    <x:xf numFmtId="0" fontId="4" fillId="20" borderId="42" xfId="0" applyFont="1" applyFill="1" applyBorder="1" applyAlignment="1">
      <x:alignment horizontal="center" vertical="center"/>
    </x:xf>
    <x:xf numFmtId="0" fontId="4" fillId="10" borderId="38" xfId="0" applyFont="1" applyFill="1" applyBorder="1" applyAlignment="1">
      <x:alignment horizontal="center" vertical="center"/>
    </x:xf>
    <x:xf numFmtId="0" fontId="4" fillId="10" borderId="39" xfId="0" applyFont="1" applyFill="1" applyBorder="1" applyAlignment="1">
      <x:alignment horizontal="center" vertical="center"/>
    </x:xf>
    <x:xf numFmtId="0" fontId="4" fillId="10" borderId="40" xfId="0" applyFont="1" applyFill="1" applyBorder="1" applyAlignment="1">
      <x:alignment horizontal="center" vertical="center"/>
    </x:xf>
    <x:xf numFmtId="0" fontId="4" fillId="14" borderId="38" xfId="0" applyFont="1" applyFill="1" applyBorder="1" applyAlignment="1">
      <x:alignment horizontal="center" vertical="center"/>
    </x:xf>
    <x:xf numFmtId="0" fontId="4" fillId="14" borderId="39" xfId="0" applyFont="1" applyFill="1" applyBorder="1" applyAlignment="1">
      <x:alignment horizontal="center" vertical="center"/>
    </x:xf>
    <x:xf numFmtId="0" fontId="4" fillId="14" borderId="40" xfId="0" applyFont="1" applyFill="1" applyBorder="1" applyAlignment="1">
      <x:alignment horizontal="center" vertical="center"/>
    </x:xf>
    <x:xf numFmtId="0" fontId="4" fillId="2" borderId="38" xfId="0" applyFont="1" applyFill="1" applyBorder="1" applyAlignment="1">
      <x:alignment horizontal="center" vertical="center"/>
    </x:xf>
    <x:xf numFmtId="0" fontId="4" fillId="2" borderId="39" xfId="0" applyFont="1" applyFill="1" applyBorder="1" applyAlignment="1">
      <x:alignment horizontal="center" vertical="center"/>
    </x:xf>
    <x:xf numFmtId="0" fontId="4" fillId="2" borderId="40" xfId="0" applyFont="1" applyFill="1" applyBorder="1" applyAlignment="1">
      <x:alignment horizontal="center" vertical="center"/>
    </x:xf>
    <x:xf numFmtId="0" fontId="4" fillId="4" borderId="38" xfId="0" applyFont="1" applyFill="1" applyBorder="1" applyAlignment="1">
      <x:alignment horizontal="center" vertical="center"/>
    </x:xf>
    <x:xf numFmtId="0" fontId="4" fillId="4" borderId="39" xfId="0" applyFont="1" applyFill="1" applyBorder="1" applyAlignment="1">
      <x:alignment horizontal="center" vertical="center"/>
    </x:xf>
    <x:xf numFmtId="0" fontId="4" fillId="4" borderId="40" xfId="0" applyFont="1" applyFill="1" applyBorder="1" applyAlignment="1">
      <x:alignment horizontal="center" vertical="center"/>
    </x:xf>
    <x:xf numFmtId="0" fontId="4" fillId="22" borderId="38" xfId="0" applyFont="1" applyFill="1" applyBorder="1" applyAlignment="1">
      <x:alignment horizontal="center" vertical="center"/>
    </x:xf>
    <x:xf numFmtId="0" fontId="4" fillId="22" borderId="39" xfId="0" applyFont="1" applyFill="1" applyBorder="1" applyAlignment="1">
      <x:alignment horizontal="center" vertical="center"/>
    </x:xf>
    <x:xf numFmtId="0" fontId="4" fillId="5" borderId="43" xfId="0" applyFont="1" applyFill="1" applyBorder="1" applyAlignment="1">
      <x:alignment horizontal="center" vertical="center"/>
    </x:xf>
    <x:xf numFmtId="0" fontId="4" fillId="5" borderId="41" xfId="0" applyFont="1" applyFill="1" applyBorder="1" applyAlignment="1">
      <x:alignment horizontal="center" vertical="center"/>
    </x:xf>
    <x:xf numFmtId="0" fontId="4" fillId="5" borderId="42" xfId="0" applyFont="1" applyFill="1" applyBorder="1" applyAlignment="1">
      <x:alignment horizontal="center" vertical="center"/>
    </x:xf>
    <x:xf numFmtId="0" fontId="0" fillId="0" borderId="44" xfId="0" applyNumberFormat="1" applyFont="1" applyFill="1" applyBorder="1"/>
    <x:xf numFmtId="0" fontId="2" fillId="0" borderId="44" xfId="0" applyNumberFormat="1" applyFont="1" applyFill="1" applyBorder="1"/>
    <x:xf numFmtId="0" fontId="2" fillId="0" borderId="44" xfId="0" applyNumberFormat="1" applyFont="1" applyFill="1" applyBorder="1" applyAlignment="1">
      <x:alignment horizontal="left" vertical="center" wrapText="1"/>
    </x:xf>
    <x:xf numFmtId="0" fontId="3" fillId="0" borderId="44" xfId="0" applyNumberFormat="1" applyFont="1" applyFill="1" applyBorder="1"/>
    <x:xf numFmtId="0" fontId="5" fillId="0" borderId="44" xfId="0" applyNumberFormat="1" applyFont="1" applyFill="1" applyBorder="1"/>
    <x:xf numFmtId="0" fontId="6" fillId="0" borderId="44" xfId="0" applyNumberFormat="1" applyFont="1" applyFill="1" applyBorder="1" applyAlignment="1">
      <x:alignment horizontal="left" vertical="center"/>
    </x:xf>
    <x:xf numFmtId="0" fontId="7" fillId="8" borderId="45" xfId="0" applyNumberFormat="1" applyFont="1" applyFill="1" applyBorder="1" applyAlignment="1">
      <x:alignment horizontal="left" wrapText="1"/>
    </x:xf>
    <x:xf numFmtId="0" fontId="7" fillId="8" borderId="46" xfId="0" applyNumberFormat="1" applyFont="1" applyFill="1" applyBorder="1" applyAlignment="1">
      <x:alignment horizontal="left" wrapText="1"/>
    </x:xf>
    <x:xf numFmtId="0" fontId="7" fillId="8" borderId="46" xfId="0" applyNumberFormat="1" applyFont="1" applyFill="1" applyBorder="1" applyAlignment="1">
      <x:alignment horizontal="center" wrapText="1"/>
    </x:xf>
    <x:xf numFmtId="0" fontId="7" fillId="8" borderId="47" xfId="0" applyNumberFormat="1" applyFont="1" applyFill="1" applyBorder="1" applyAlignment="1">
      <x:alignment horizontal="left" vertical="top" wrapText="1"/>
    </x:xf>
    <x:xf numFmtId="0" fontId="7" fillId="8" borderId="48" xfId="0" applyNumberFormat="1" applyFont="1" applyFill="1" applyBorder="1" applyAlignment="1">
      <x:alignment horizontal="left" vertical="top" wrapText="1"/>
    </x:xf>
    <x:xf numFmtId="0" fontId="7" fillId="8" borderId="48" xfId="0" applyNumberFormat="1" applyFont="1" applyFill="1" applyBorder="1" applyAlignment="1">
      <x:alignment horizontal="center" vertical="top" wrapText="1"/>
    </x:xf>
    <x:xf numFmtId="0" fontId="8" fillId="12" borderId="49" xfId="0" applyNumberFormat="1" applyFont="1" applyFill="1" applyBorder="1" applyAlignment="1">
      <x:alignment horizontal="center" vertical="center"/>
    </x:xf>
    <x:xf numFmtId="0" fontId="8" fillId="12" borderId="50" xfId="0" applyNumberFormat="1" applyFont="1" applyFill="1" applyBorder="1" applyAlignment="1">
      <x:alignment horizontal="center" vertical="center"/>
    </x:xf>
    <x:xf numFmtId="0" fontId="8" fillId="16" borderId="51" xfId="0" applyNumberFormat="1" applyFont="1" applyFill="1" applyBorder="1" applyAlignment="1">
      <x:alignment horizontal="center" vertical="center"/>
    </x:xf>
    <x:xf numFmtId="0" fontId="8" fillId="16" borderId="50" xfId="0" applyNumberFormat="1" applyFont="1" applyFill="1" applyBorder="1" applyAlignment="1">
      <x:alignment horizontal="center" vertical="center"/>
    </x:xf>
    <x:xf numFmtId="0" fontId="8" fillId="6" borderId="51" xfId="0" applyNumberFormat="1" applyFont="1" applyFill="1" applyBorder="1" applyAlignment="1">
      <x:alignment horizontal="center" vertical="center"/>
    </x:xf>
    <x:xf numFmtId="0" fontId="8" fillId="6" borderId="50" xfId="0" applyNumberFormat="1" applyFont="1" applyFill="1" applyBorder="1" applyAlignment="1">
      <x:alignment horizontal="center" vertical="center"/>
    </x:xf>
    <x:xf numFmtId="0" fontId="5" fillId="8" borderId="52" xfId="0" applyNumberFormat="1" applyFont="1" applyFill="1" applyBorder="1"/>
    <x:xf numFmtId="0" fontId="5" fillId="8" borderId="53" xfId="0" applyNumberFormat="1" applyFont="1" applyFill="1" applyBorder="1"/>
    <x:xf numFmtId="0" fontId="5" fillId="0" borderId="52" xfId="0" applyNumberFormat="1" applyFont="1" applyFill="1" applyBorder="1"/>
    <x:xf numFmtId="0" fontId="5" fillId="0" borderId="53" xfId="0" applyNumberFormat="1" applyFont="1" applyFill="1" applyBorder="1"/>
    <x:xf numFmtId="0" fontId="5" fillId="13" borderId="53" xfId="0" applyNumberFormat="1" applyFont="1" applyFill="1" applyBorder="1"/>
    <x:xf numFmtId="0" fontId="5" fillId="17" borderId="53" xfId="0" applyNumberFormat="1" applyFont="1" applyFill="1" applyBorder="1"/>
    <x:xf numFmtId="0" fontId="5" fillId="7" borderId="53" xfId="0" applyNumberFormat="1" applyFont="1" applyFill="1" applyBorder="1"/>
    <x:xf numFmtId="0" fontId="5" fillId="0" borderId="54" xfId="0" applyNumberFormat="1" applyFont="1" applyFill="1" applyBorder="1"/>
    <x:xf numFmtId="0" fontId="5" fillId="0" borderId="55" xfId="0" applyNumberFormat="1" applyFont="1" applyFill="1" applyBorder="1"/>
    <x:xf numFmtId="0" fontId="5" fillId="13" borderId="55" xfId="0" applyNumberFormat="1" applyFont="1" applyFill="1" applyBorder="1"/>
    <x:xf numFmtId="0" fontId="5" fillId="17" borderId="55" xfId="0" applyNumberFormat="1" applyFont="1" applyFill="1" applyBorder="1"/>
    <x:xf numFmtId="0" fontId="5" fillId="7" borderId="55" xfId="0" applyNumberFormat="1" applyFont="1" applyFill="1" applyBorder="1"/>
    <x:xf numFmtId="0" fontId="8" fillId="18" borderId="51" xfId="0" applyNumberFormat="1" applyFont="1" applyFill="1" applyBorder="1" applyAlignment="1">
      <x:alignment horizontal="center" vertical="center"/>
    </x:xf>
    <x:xf numFmtId="0" fontId="8" fillId="18" borderId="50" xfId="0" applyNumberFormat="1" applyFont="1" applyFill="1" applyBorder="1" applyAlignment="1">
      <x:alignment horizontal="center" vertical="center"/>
    </x:xf>
    <x:xf numFmtId="0" fontId="5" fillId="9" borderId="53" xfId="0" applyNumberFormat="1" applyFont="1" applyFill="1" applyBorder="1"/>
    <x:xf numFmtId="0" fontId="5" fillId="9" borderId="55" xfId="0" applyNumberFormat="1" applyFont="1" applyFill="1" applyBorder="1"/>
    <x:xf numFmtId="0" fontId="5" fillId="0" borderId="44" xfId="0" applyNumberFormat="1" applyFont="1" applyFill="1" applyBorder="1" applyAlignment="1">
      <x:alignment horizontal="left" vertical="center" wrapText="1"/>
    </x:xf>
    <x:xf numFmtId="0" fontId="9" fillId="19" borderId="44" xfId="0" applyNumberFormat="1" applyFont="1" applyFill="1" applyBorder="1" applyAlignment="1">
      <x:alignment vertical="center"/>
    </x:xf>
    <x:xf numFmtId="0" fontId="5" fillId="19" borderId="44" xfId="0" applyNumberFormat="1" applyFont="1" applyFill="1" applyBorder="1" applyAlignment="1">
      <x:alignment horizontal="left" vertical="center" wrapText="1"/>
    </x:xf>
    <x:xf numFmtId="49" fontId="5" fillId="9" borderId="56" xfId="0" applyNumberFormat="1" applyFont="1" applyFill="1" applyBorder="1" applyAlignment="1">
      <x:alignment horizontal="left" vertical="center"/>
    </x:xf>
    <x:xf numFmtId="0" fontId="5" fillId="8" borderId="57" xfId="0" applyNumberFormat="1" applyFont="1" applyFill="1" applyBorder="1" applyAlignment="1">
      <x:alignment horizontal="left" vertical="center"/>
    </x:xf>
    <x:xf numFmtId="0" fontId="5" fillId="8" borderId="58" xfId="0" applyNumberFormat="1" applyFont="1" applyFill="1" applyBorder="1" applyAlignment="1">
      <x:alignment horizontal="left" vertical="center"/>
    </x:xf>
    <x:xf numFmtId="1" fontId="5" fillId="8" borderId="58" xfId="0" applyNumberFormat="1" applyFont="1" applyFill="1" applyBorder="1" applyAlignment="1">
      <x:alignment horizontal="center" vertical="center"/>
    </x:xf>
    <x:xf numFmtId="49" fontId="5" fillId="9" borderId="59" xfId="0" applyNumberFormat="1" applyFont="1" applyFill="1" applyBorder="1" applyAlignment="1">
      <x:alignment horizontal="left" vertical="center"/>
    </x:xf>
    <x:xf numFmtId="0" fontId="5" fillId="0" borderId="52" xfId="0" applyNumberFormat="1" applyFont="1" applyFill="1" applyBorder="1" applyAlignment="1">
      <x:alignment horizontal="left" vertical="center"/>
    </x:xf>
    <x:xf numFmtId="0" fontId="5" fillId="0" borderId="53" xfId="0" applyNumberFormat="1" applyFont="1" applyFill="1" applyBorder="1" applyAlignment="1">
      <x:alignment horizontal="left" vertical="center"/>
    </x:xf>
    <x:xf numFmtId="0" fontId="5" fillId="8" borderId="52" xfId="0" applyNumberFormat="1" applyFont="1" applyFill="1" applyBorder="1" applyAlignment="1">
      <x:alignment horizontal="left" vertical="center"/>
    </x:xf>
    <x:xf numFmtId="0" fontId="5" fillId="8" borderId="53" xfId="0" applyNumberFormat="1" applyFont="1" applyFill="1" applyBorder="1" applyAlignment="1">
      <x:alignment horizontal="left" vertical="center"/>
    </x:xf>
    <x:xf numFmtId="1" fontId="5" fillId="8" borderId="53" xfId="0" applyNumberFormat="1" applyFont="1" applyFill="1" applyBorder="1" applyAlignment="1">
      <x:alignment horizontal="center" vertical="center"/>
    </x:xf>
    <x:xf numFmtId="0" fontId="5" fillId="0" borderId="55" xfId="0" applyNumberFormat="1" applyFont="1" applyFill="1" applyBorder="1" applyAlignment="1">
      <x:alignment horizontal="left" vertical="center"/>
    </x:xf>
    <x:xf numFmtId="0" fontId="5" fillId="8" borderId="60" xfId="0" applyNumberFormat="1" applyFont="1" applyFill="1" applyBorder="1"/>
    <x:xf numFmtId="0" fontId="5" fillId="0" borderId="60" xfId="0" applyNumberFormat="1" applyFont="1" applyFill="1" applyBorder="1"/>
    <x:xf numFmtId="0" fontId="5" fillId="0" borderId="61" xfId="0" applyNumberFormat="1" applyFont="1" applyFill="1" applyBorder="1"/>
    <x:xf numFmtId="0" fontId="7" fillId="8" borderId="62" xfId="0" applyNumberFormat="1" applyFont="1" applyFill="1" applyBorder="1" applyAlignment="1">
      <x:alignment horizontal="center" wrapText="1"/>
    </x:xf>
    <x:xf numFmtId="0" fontId="7" fillId="8" borderId="63" xfId="0" applyNumberFormat="1" applyFont="1" applyFill="1" applyBorder="1" applyAlignment="1">
      <x:alignment horizontal="center" vertical="top" wrapText="1"/>
    </x:xf>
    <x:xf numFmtId="9" fontId="8" fillId="8" borderId="64" xfId="0" applyNumberFormat="1" applyFont="1" applyFill="1" applyBorder="1" applyAlignment="1">
      <x:alignment horizontal="center" vertical="center"/>
    </x:xf>
    <x:xf numFmtId="9" fontId="8" fillId="0" borderId="65" xfId="0" applyNumberFormat="1" applyFont="1" applyFill="1" applyBorder="1" applyAlignment="1">
      <x:alignment horizontal="center" vertical="center"/>
    </x:xf>
    <x:xf numFmtId="9" fontId="8" fillId="8" borderId="65" xfId="0" applyNumberFormat="1" applyFont="1" applyFill="1" applyBorder="1" applyAlignment="1">
      <x:alignment horizontal="center" vertical="center"/>
    </x:xf>
    <x:xf numFmtId="9" fontId="8" fillId="0" borderId="66" xfId="0" applyNumberFormat="1" applyFont="1" applyFill="1" applyBorder="1" applyAlignment="1">
      <x:alignment horizontal="center" vertical="center"/>
    </x:xf>
    <x:xf numFmtId="165" fontId="5" fillId="9" borderId="67" xfId="0" applyNumberFormat="1" applyFont="1" applyFill="1" applyBorder="1" applyAlignment="1">
      <x:alignment horizontal="center" vertical="center" wrapText="1"/>
    </x:xf>
    <x:xf numFmtId="0" fontId="5" fillId="0" borderId="68" xfId="0" applyNumberFormat="1" applyFont="1" applyFill="1" applyBorder="1" applyAlignment="1">
      <x:alignment horizontal="left" vertical="center" wrapText="1"/>
    </x:xf>
    <x:xf numFmtId="0" fontId="7" fillId="13" borderId="69" xfId="0" applyNumberFormat="1" applyFont="1" applyFill="1" applyBorder="1" applyAlignment="1">
      <x:alignment horizontal="left" vertical="center" wrapText="1"/>
    </x:xf>
    <x:xf numFmtId="0" fontId="7" fillId="13" borderId="69" xfId="0" applyNumberFormat="1" applyFont="1" applyFill="1" applyBorder="1" applyAlignment="1">
      <x:alignment horizontal="left" vertical="center"/>
    </x:xf>
    <x:xf numFmtId="0" fontId="7" fillId="13" borderId="70" xfId="0" applyNumberFormat="1" applyFont="1" applyFill="1" applyBorder="1" applyAlignment="1">
      <x:alignment horizontal="left" vertical="center" wrapText="1"/>
    </x:xf>
    <x:xf numFmtId="0" fontId="7" fillId="13" borderId="71" xfId="0" applyNumberFormat="1" applyFont="1" applyFill="1" applyBorder="1" applyAlignment="1">
      <x:alignment horizontal="left" vertical="center" wrapText="1"/>
    </x:xf>
    <x:xf numFmtId="0" fontId="5" fillId="0" borderId="72" xfId="0" applyNumberFormat="1" applyFont="1" applyFill="1" applyBorder="1" applyAlignment="1">
      <x:alignment horizontal="left" vertical="center" wrapText="1"/>
    </x:xf>
    <x:xf numFmtId="0" fontId="5" fillId="9" borderId="67" xfId="0" applyNumberFormat="1" applyFont="1" applyFill="1" applyBorder="1" applyAlignment="1">
      <x:alignment horizontal="left" vertical="center" wrapText="1"/>
    </x:xf>
    <x:xf numFmtId="14" fontId="5" fillId="8" borderId="73" xfId="0" applyNumberFormat="1" applyFont="1" applyFill="1" applyBorder="1" applyAlignment="1">
      <x:alignment horizontal="center" vertical="center"/>
    </x:xf>
    <x:xf numFmtId="164" fontId="5" fillId="8" borderId="60" xfId="0" applyNumberFormat="1" applyFont="1" applyFill="1" applyBorder="1" applyAlignment="1">
      <x:alignment horizontal="center" vertical="center"/>
    </x:xf>
    <x:xf numFmtId="14" fontId="5" fillId="8" borderId="74" xfId="0" applyNumberFormat="1" applyFont="1" applyFill="1" applyBorder="1" applyAlignment="1">
      <x:alignment horizontal="center" vertical="center"/>
    </x:xf>
    <x:xf numFmtId="164" fontId="5" fillId="0" borderId="75" xfId="0" applyNumberFormat="1" applyFont="1" applyFill="1" applyBorder="1" applyAlignment="1">
      <x:alignment horizontal="center" vertical="center"/>
    </x:xf>
    <x:xf numFmtId="164" fontId="5" fillId="8" borderId="75" xfId="0" applyNumberFormat="1" applyFont="1" applyFill="1" applyBorder="1" applyAlignment="1">
      <x:alignment horizontal="center" vertical="center"/>
    </x:xf>
    <x:xf numFmtId="164" fontId="5" fillId="0" borderId="76" xfId="0" applyNumberFormat="1" applyFont="1" applyFill="1" applyBorder="1" applyAlignment="1">
      <x:alignment horizontal="center" vertical="center"/>
    </x:xf>
    <x:xf numFmtId="164" fontId="5" fillId="13" borderId="60" xfId="0" applyNumberFormat="1" applyFont="1" applyFill="1" applyBorder="1" applyAlignment="1">
      <x:alignment horizontal="center" vertical="center"/>
    </x:xf>
    <x:xf numFmtId="164" fontId="5" fillId="13" borderId="61" xfId="0" applyNumberFormat="1" applyFont="1" applyFill="1" applyBorder="1" applyAlignment="1">
      <x:alignment horizontal="center" vertical="center"/>
    </x:xf>
    <x:xf numFmtId="1" fontId="5" fillId="9" borderId="53" xfId="0" applyNumberFormat="1" applyFont="1" applyFill="1" applyBorder="1" applyAlignment="1">
      <x:alignment horizontal="center" vertical="center"/>
    </x:xf>
    <x:xf numFmtId="1" fontId="5" fillId="9" borderId="55" xfId="0" applyNumberFormat="1" applyFont="1" applyFill="1" applyBorder="1" applyAlignment="1">
      <x:alignment horizontal="center" vertical="center"/>
    </x:xf>
    <x:xf numFmtId="0" fontId="7" fillId="8" borderId="77" xfId="0" applyNumberFormat="1" applyFont="1" applyFill="1" applyBorder="1" applyAlignment="1">
      <x:alignment horizontal="center" wrapText="1"/>
    </x:xf>
    <x:xf numFmtId="0" fontId="7" fillId="8" borderId="78" xfId="0" applyNumberFormat="1" applyFont="1" applyFill="1" applyBorder="1" applyAlignment="1">
      <x:alignment horizontal="center" wrapText="1"/>
    </x:xf>
    <x:xf numFmtId="0" fontId="7" fillId="8" borderId="71" xfId="0" applyNumberFormat="1" applyFont="1" applyFill="1" applyBorder="1" applyAlignment="1">
      <x:alignment horizontal="center" vertical="top" wrapText="1"/>
    </x:xf>
    <x:xf numFmtId="0" fontId="7" fillId="8" borderId="72" xfId="0" applyNumberFormat="1" applyFont="1" applyFill="1" applyBorder="1" applyAlignment="1">
      <x:alignment horizontal="center" vertical="top" wrapText="1"/>
    </x:xf>
    <x:xf numFmtId="0" fontId="8" fillId="21" borderId="51" xfId="0" applyNumberFormat="1" applyFont="1" applyFill="1" applyBorder="1" applyAlignment="1">
      <x:alignment horizontal="center" vertical="center"/>
    </x:xf>
    <x:xf numFmtId="0" fontId="8" fillId="21" borderId="50" xfId="0" applyNumberFormat="1" applyFont="1" applyFill="1" applyBorder="1" applyAlignment="1">
      <x:alignment horizontal="center" vertical="center"/>
    </x:xf>
    <x:xf numFmtId="0" fontId="4" fillId="22" borderId="79" xfId="0" applyNumberFormat="1" applyFont="1" applyFill="1" applyBorder="1" applyAlignment="1">
      <x:alignment vertical="center"/>
    </x:xf>
    <x:xf numFmtId="0" fontId="4" fillId="20" borderId="80" xfId="0" applyNumberFormat="1" applyFont="1" applyFill="1" applyBorder="1" applyAlignment="1">
      <x:alignment vertical="center"/>
    </x:xf>
    <x:xf numFmtId="0" fontId="4" fillId="3" borderId="80" xfId="0" applyNumberFormat="1" applyFont="1" applyFill="1" applyBorder="1" applyAlignment="1">
      <x:alignment horizontal="center" vertical="center"/>
    </x:xf>
    <x:xf numFmtId="0" fontId="4" fillId="3" borderId="81" xfId="0" applyNumberFormat="1" applyFont="1" applyFill="1" applyBorder="1" applyAlignment="1">
      <x:alignment horizontal="center" vertical="center"/>
    </x:xf>
    <x:xf numFmtId="0" fontId="4" fillId="5" borderId="80" xfId="0" applyNumberFormat="1" applyFont="1" applyFill="1" applyBorder="1" applyAlignment="1">
      <x:alignment horizontal="center" vertical="center"/>
    </x:xf>
    <x:xf numFmtId="0" fontId="4" fillId="5" borderId="81" xfId="0" applyNumberFormat="1" applyFont="1" applyFill="1" applyBorder="1" applyAlignment="1">
      <x:alignment horizontal="center" vertical="center"/>
    </x:xf>
    <x:xf numFmtId="0" fontId="4" fillId="11" borderId="82" xfId="0" applyNumberFormat="1" applyFont="1" applyFill="1" applyBorder="1" applyAlignment="1">
      <x:alignment horizontal="center" vertical="center"/>
    </x:xf>
    <x:xf numFmtId="0" fontId="4" fillId="11" borderId="81" xfId="0" applyNumberFormat="1" applyFont="1" applyFill="1" applyBorder="1" applyAlignment="1">
      <x:alignment horizontal="center" vertical="center"/>
    </x:xf>
    <x:xf numFmtId="0" fontId="4" fillId="15" borderId="80" xfId="0" applyNumberFormat="1" applyFont="1" applyFill="1" applyBorder="1" applyAlignment="1">
      <x:alignment horizontal="center" vertical="center"/>
    </x:xf>
    <x:xf numFmtId="0" fontId="4" fillId="15" borderId="81" xfId="0" applyNumberFormat="1" applyFont="1" applyFill="1" applyBorder="1" applyAlignment="1">
      <x:alignment horizontal="center" vertical="center"/>
    </x:xf>
    <x:xf numFmtId="0" fontId="4" fillId="20" borderId="83" xfId="0" applyNumberFormat="1" applyFont="1" applyFill="1" applyBorder="1" applyAlignment="1">
      <x:alignment horizontal="center" vertical="center"/>
    </x:xf>
    <x:xf numFmtId="0" fontId="4" fillId="20" borderId="84" xfId="0" applyNumberFormat="1" applyFont="1" applyFill="1" applyBorder="1" applyAlignment="1">
      <x:alignment horizontal="center" vertical="center"/>
    </x:xf>
    <x:xf numFmtId="0" fontId="4" fillId="20" borderId="85" xfId="0" applyNumberFormat="1" applyFont="1" applyFill="1" applyBorder="1" applyAlignment="1">
      <x:alignment horizontal="center" vertical="center"/>
    </x:xf>
    <x:xf numFmtId="0" fontId="4" fillId="10" borderId="79" xfId="0" applyNumberFormat="1" applyFont="1" applyFill="1" applyBorder="1" applyAlignment="1">
      <x:alignment horizontal="center" vertical="center"/>
    </x:xf>
    <x:xf numFmtId="0" fontId="4" fillId="10" borderId="86" xfId="0" applyNumberFormat="1" applyFont="1" applyFill="1" applyBorder="1" applyAlignment="1">
      <x:alignment horizontal="center" vertical="center"/>
    </x:xf>
    <x:xf numFmtId="0" fontId="4" fillId="10" borderId="87" xfId="0" applyNumberFormat="1" applyFont="1" applyFill="1" applyBorder="1" applyAlignment="1">
      <x:alignment horizontal="center" vertical="center"/>
    </x:xf>
    <x:xf numFmtId="0" fontId="4" fillId="14" borderId="79" xfId="0" applyNumberFormat="1" applyFont="1" applyFill="1" applyBorder="1" applyAlignment="1">
      <x:alignment horizontal="center" vertical="center"/>
    </x:xf>
    <x:xf numFmtId="0" fontId="4" fillId="14" borderId="86" xfId="0" applyNumberFormat="1" applyFont="1" applyFill="1" applyBorder="1" applyAlignment="1">
      <x:alignment horizontal="center" vertical="center"/>
    </x:xf>
    <x:xf numFmtId="0" fontId="4" fillId="14" borderId="87" xfId="0" applyNumberFormat="1" applyFont="1" applyFill="1" applyBorder="1" applyAlignment="1">
      <x:alignment horizontal="center" vertical="center"/>
    </x:xf>
    <x:xf numFmtId="0" fontId="4" fillId="2" borderId="79" xfId="0" applyNumberFormat="1" applyFont="1" applyFill="1" applyBorder="1" applyAlignment="1">
      <x:alignment horizontal="center" vertical="center"/>
    </x:xf>
    <x:xf numFmtId="0" fontId="4" fillId="2" borderId="86" xfId="0" applyNumberFormat="1" applyFont="1" applyFill="1" applyBorder="1" applyAlignment="1">
      <x:alignment horizontal="center" vertical="center"/>
    </x:xf>
    <x:xf numFmtId="0" fontId="4" fillId="2" borderId="87" xfId="0" applyNumberFormat="1" applyFont="1" applyFill="1" applyBorder="1" applyAlignment="1">
      <x:alignment horizontal="center" vertical="center"/>
    </x:xf>
    <x:xf numFmtId="0" fontId="4" fillId="4" borderId="79" xfId="0" applyNumberFormat="1" applyFont="1" applyFill="1" applyBorder="1" applyAlignment="1">
      <x:alignment horizontal="center" vertical="center"/>
    </x:xf>
    <x:xf numFmtId="0" fontId="4" fillId="4" borderId="86" xfId="0" applyNumberFormat="1" applyFont="1" applyFill="1" applyBorder="1" applyAlignment="1">
      <x:alignment horizontal="center" vertical="center"/>
    </x:xf>
    <x:xf numFmtId="0" fontId="4" fillId="4" borderId="87" xfId="0" applyNumberFormat="1" applyFont="1" applyFill="1" applyBorder="1" applyAlignment="1">
      <x:alignment horizontal="center" vertical="center"/>
    </x:xf>
    <x:xf numFmtId="0" fontId="4" fillId="22" borderId="79" xfId="0" applyNumberFormat="1" applyFont="1" applyFill="1" applyBorder="1" applyAlignment="1">
      <x:alignment horizontal="center" vertical="center"/>
    </x:xf>
    <x:xf numFmtId="0" fontId="4" fillId="22" borderId="86" xfId="0" applyNumberFormat="1" applyFont="1" applyFill="1" applyBorder="1" applyAlignment="1">
      <x:alignment horizontal="center" vertical="center"/>
    </x:xf>
    <x:xf numFmtId="0" fontId="4" fillId="5" borderId="83" xfId="0" applyNumberFormat="1" applyFont="1" applyFill="1" applyBorder="1" applyAlignment="1">
      <x:alignment horizontal="center" vertical="center"/>
    </x:xf>
    <x:xf numFmtId="0" fontId="4" fillId="5" borderId="84" xfId="0" applyNumberFormat="1" applyFont="1" applyFill="1" applyBorder="1" applyAlignment="1">
      <x:alignment horizontal="center" vertical="center"/>
    </x:xf>
    <x:xf numFmtId="0" fontId="4" fillId="5" borderId="85" xfId="0" applyNumberFormat="1" applyFont="1" applyFill="1" applyBorder="1" applyAlignment="1">
      <x:alignment horizontal="center" vertical="center"/>
    </x:xf>
    <x:xf numFmtId="200" fontId="5" fillId="9" borderId="27" xfId="0" applyNumberFormat="1" applyFont="1" applyFill="1" applyBorder="1" applyAlignment="1">
      <x:alignment horizontal="center" vertical="center" wrapText="1"/>
    </x:xf>
    <x:xf numFmtId="200" fontId="5" fillId="9" borderId="67" xfId="0" applyNumberFormat="1" applyFont="1" applyFill="1" applyBorder="1" applyAlignment="1">
      <x:alignment horizontal="center" vertical="center" wrapText="1"/>
    </x:xf>
    <x:xf numFmtId="200" fontId="5" fillId="8" borderId="35" xfId="0" applyNumberFormat="1" applyFont="1" applyFill="1" applyBorder="1" applyAlignment="1">
      <x:alignment horizontal="center" vertical="center"/>
    </x:xf>
    <x:xf numFmtId="200" fontId="5" fillId="8" borderId="33" xfId="0" applyNumberFormat="1" applyFont="1" applyFill="1" applyBorder="1" applyAlignment="1">
      <x:alignment horizontal="center" vertical="center"/>
    </x:xf>
    <x:xf numFmtId="200" fontId="5" fillId="0" borderId="36" xfId="0" applyNumberFormat="1" applyFont="1" applyFill="1" applyBorder="1" applyAlignment="1">
      <x:alignment horizontal="center" vertical="center"/>
    </x:xf>
    <x:xf numFmtId="200" fontId="5" fillId="13" borderId="21" xfId="0" applyNumberFormat="1" applyFont="1" applyFill="1" applyBorder="1" applyAlignment="1">
      <x:alignment horizontal="center" vertical="center"/>
    </x:xf>
    <x:xf numFmtId="200" fontId="5" fillId="8" borderId="36" xfId="0" applyNumberFormat="1" applyFont="1" applyFill="1" applyBorder="1" applyAlignment="1">
      <x:alignment horizontal="center" vertical="center"/>
    </x:xf>
    <x:xf numFmtId="200" fontId="5" fillId="8" borderId="21" xfId="0" applyNumberFormat="1" applyFont="1" applyFill="1" applyBorder="1" applyAlignment="1">
      <x:alignment horizontal="center" vertical="center"/>
    </x:xf>
    <x:xf numFmtId="200" fontId="5" fillId="0" borderId="37" xfId="0" applyNumberFormat="1" applyFont="1" applyFill="1" applyBorder="1" applyAlignment="1">
      <x:alignment horizontal="center" vertical="center"/>
    </x:xf>
    <x:xf numFmtId="200" fontId="5" fillId="13" borderId="22" xfId="0" applyNumberFormat="1" applyFont="1" applyFill="1" applyBorder="1" applyAlignment="1">
      <x:alignment horizontal="center" vertical="center"/>
    </x:xf>
    <x:xf numFmtId="200" fontId="5" fillId="8" borderId="74" xfId="0" applyNumberFormat="1" applyFont="1" applyFill="1" applyBorder="1" applyAlignment="1">
      <x:alignment horizontal="center" vertical="center"/>
    </x:xf>
    <x:xf numFmtId="200" fontId="5" fillId="8" borderId="73" xfId="0" applyNumberFormat="1" applyFont="1" applyFill="1" applyBorder="1" applyAlignment="1">
      <x:alignment horizontal="center" vertical="center"/>
    </x:xf>
    <x:xf numFmtId="200" fontId="5" fillId="0" borderId="75" xfId="0" applyNumberFormat="1" applyFont="1" applyFill="1" applyBorder="1" applyAlignment="1">
      <x:alignment horizontal="center" vertical="center"/>
    </x:xf>
    <x:xf numFmtId="200" fontId="5" fillId="13" borderId="60" xfId="0" applyNumberFormat="1" applyFont="1" applyFill="1" applyBorder="1" applyAlignment="1">
      <x:alignment horizontal="center" vertical="center"/>
    </x:xf>
    <x:xf numFmtId="200" fontId="5" fillId="8" borderId="75" xfId="0" applyNumberFormat="1" applyFont="1" applyFill="1" applyBorder="1" applyAlignment="1">
      <x:alignment horizontal="center" vertical="center"/>
    </x:xf>
    <x:xf numFmtId="200" fontId="5" fillId="8" borderId="60" xfId="0" applyNumberFormat="1" applyFont="1" applyFill="1" applyBorder="1" applyAlignment="1">
      <x:alignment horizontal="center" vertical="center"/>
    </x:xf>
    <x:xf numFmtId="200" fontId="5" fillId="0" borderId="76" xfId="0" applyNumberFormat="1" applyFont="1" applyFill="1" applyBorder="1" applyAlignment="1">
      <x:alignment horizontal="center" vertical="center"/>
    </x:xf>
    <x:xf numFmtId="200" fontId="5" fillId="13" borderId="61" xfId="0" applyNumberFormat="1" applyFont="1" applyFill="1" applyBorder="1" applyAlignment="1">
      <x:alignment horizontal="center" vertical="center"/>
    </x:xf>
    <x:xf numFmtId="201" fontId="8" fillId="8" borderId="25" xfId="0" applyNumberFormat="1" applyFont="1" applyFill="1" applyBorder="1" applyAlignment="1">
      <x:alignment horizontal="center" vertical="center"/>
    </x:xf>
    <x:xf numFmtId="201" fontId="8" fillId="0" borderId="16" xfId="0" applyNumberFormat="1" applyFont="1" applyFill="1" applyBorder="1" applyAlignment="1">
      <x:alignment horizontal="center" vertical="center"/>
    </x:xf>
    <x:xf numFmtId="201" fontId="8" fillId="8" borderId="16" xfId="0" applyNumberFormat="1" applyFont="1" applyFill="1" applyBorder="1" applyAlignment="1">
      <x:alignment horizontal="center" vertical="center"/>
    </x:xf>
    <x:xf numFmtId="201" fontId="8" fillId="0" borderId="20" xfId="0" applyNumberFormat="1" applyFont="1" applyFill="1" applyBorder="1" applyAlignment="1">
      <x:alignment horizontal="center" vertical="center"/>
    </x:xf>
    <x:xf numFmtId="201" fontId="8" fillId="8" borderId="64" xfId="0" applyNumberFormat="1" applyFont="1" applyFill="1" applyBorder="1" applyAlignment="1">
      <x:alignment horizontal="center" vertical="center"/>
    </x:xf>
    <x:xf numFmtId="201" fontId="8" fillId="0" borderId="65" xfId="0" applyNumberFormat="1" applyFont="1" applyFill="1" applyBorder="1" applyAlignment="1">
      <x:alignment horizontal="center" vertical="center"/>
    </x:xf>
    <x:xf numFmtId="201" fontId="8" fillId="8" borderId="65" xfId="0" applyNumberFormat="1" applyFont="1" applyFill="1" applyBorder="1" applyAlignment="1">
      <x:alignment horizontal="center" vertical="center"/>
    </x:xf>
    <x:xf numFmtId="201" fontId="8" fillId="0" borderId="66" xfId="0" applyNumberFormat="1" applyFont="1" applyFill="1" applyBorder="1" applyAlignment="1">
      <x:alignment horizontal="center" vertical="center"/>
    </x:xf>
    <x:xf numFmtId="202" fontId="4" fillId="10" borderId="38" xfId="0" applyNumberFormat="1" applyFont="1" applyFill="1" applyBorder="1" applyAlignment="1">
      <x:alignment horizontal="center" vertical="center"/>
    </x:xf>
    <x:xf numFmtId="202" fontId="4" fillId="10" borderId="39" xfId="0" applyNumberFormat="1" applyFont="1" applyFill="1" applyBorder="1" applyAlignment="1">
      <x:alignment horizontal="center" vertical="center"/>
    </x:xf>
    <x:xf numFmtId="202" fontId="4" fillId="10" borderId="40" xfId="0" applyNumberFormat="1" applyFont="1" applyFill="1" applyBorder="1" applyAlignment="1">
      <x:alignment horizontal="center" vertical="center"/>
    </x:xf>
    <x:xf numFmtId="202" fontId="4" fillId="14" borderId="38" xfId="0" applyNumberFormat="1" applyFont="1" applyFill="1" applyBorder="1" applyAlignment="1">
      <x:alignment horizontal="center" vertical="center"/>
    </x:xf>
    <x:xf numFmtId="202" fontId="4" fillId="14" borderId="39" xfId="0" applyNumberFormat="1" applyFont="1" applyFill="1" applyBorder="1" applyAlignment="1">
      <x:alignment horizontal="center" vertical="center"/>
    </x:xf>
    <x:xf numFmtId="202" fontId="4" fillId="14" borderId="40" xfId="0" applyNumberFormat="1" applyFont="1" applyFill="1" applyBorder="1" applyAlignment="1">
      <x:alignment horizontal="center" vertical="center"/>
    </x:xf>
    <x:xf numFmtId="202" fontId="4" fillId="2" borderId="38" xfId="0" applyNumberFormat="1" applyFont="1" applyFill="1" applyBorder="1" applyAlignment="1">
      <x:alignment horizontal="center" vertical="center"/>
    </x:xf>
    <x:xf numFmtId="202" fontId="4" fillId="2" borderId="39" xfId="0" applyNumberFormat="1" applyFont="1" applyFill="1" applyBorder="1" applyAlignment="1">
      <x:alignment horizontal="center" vertical="center"/>
    </x:xf>
    <x:xf numFmtId="202" fontId="4" fillId="2" borderId="40" xfId="0" applyNumberFormat="1" applyFont="1" applyFill="1" applyBorder="1" applyAlignment="1">
      <x:alignment horizontal="center" vertical="center"/>
    </x:xf>
    <x:xf numFmtId="202" fontId="4" fillId="4" borderId="38" xfId="0" applyNumberFormat="1" applyFont="1" applyFill="1" applyBorder="1" applyAlignment="1">
      <x:alignment horizontal="center" vertical="center"/>
    </x:xf>
    <x:xf numFmtId="202" fontId="4" fillId="4" borderId="39" xfId="0" applyNumberFormat="1" applyFont="1" applyFill="1" applyBorder="1" applyAlignment="1">
      <x:alignment horizontal="center" vertical="center"/>
    </x:xf>
    <x:xf numFmtId="202" fontId="4" fillId="4" borderId="40" xfId="0" applyNumberFormat="1" applyFont="1" applyFill="1" applyBorder="1" applyAlignment="1">
      <x:alignment horizontal="center" vertical="center"/>
    </x:xf>
    <x:xf numFmtId="202" fontId="4" fillId="22" borderId="38" xfId="0" applyNumberFormat="1" applyFont="1" applyFill="1" applyBorder="1" applyAlignment="1">
      <x:alignment horizontal="center" vertical="center"/>
    </x:xf>
    <x:xf numFmtId="202" fontId="4" fillId="22" borderId="39" xfId="0" applyNumberFormat="1" applyFont="1" applyFill="1" applyBorder="1" applyAlignment="1">
      <x:alignment horizontal="center" vertical="center"/>
    </x:xf>
    <x:xf numFmtId="202" fontId="4" fillId="10" borderId="79" xfId="0" applyNumberFormat="1" applyFont="1" applyFill="1" applyBorder="1" applyAlignment="1">
      <x:alignment horizontal="center" vertical="center"/>
    </x:xf>
    <x:xf numFmtId="202" fontId="4" fillId="10" borderId="86" xfId="0" applyNumberFormat="1" applyFont="1" applyFill="1" applyBorder="1" applyAlignment="1">
      <x:alignment horizontal="center" vertical="center"/>
    </x:xf>
    <x:xf numFmtId="202" fontId="4" fillId="10" borderId="87" xfId="0" applyNumberFormat="1" applyFont="1" applyFill="1" applyBorder="1" applyAlignment="1">
      <x:alignment horizontal="center" vertical="center"/>
    </x:xf>
    <x:xf numFmtId="202" fontId="4" fillId="14" borderId="79" xfId="0" applyNumberFormat="1" applyFont="1" applyFill="1" applyBorder="1" applyAlignment="1">
      <x:alignment horizontal="center" vertical="center"/>
    </x:xf>
    <x:xf numFmtId="202" fontId="4" fillId="14" borderId="86" xfId="0" applyNumberFormat="1" applyFont="1" applyFill="1" applyBorder="1" applyAlignment="1">
      <x:alignment horizontal="center" vertical="center"/>
    </x:xf>
    <x:xf numFmtId="202" fontId="4" fillId="14" borderId="87" xfId="0" applyNumberFormat="1" applyFont="1" applyFill="1" applyBorder="1" applyAlignment="1">
      <x:alignment horizontal="center" vertical="center"/>
    </x:xf>
    <x:xf numFmtId="202" fontId="4" fillId="2" borderId="79" xfId="0" applyNumberFormat="1" applyFont="1" applyFill="1" applyBorder="1" applyAlignment="1">
      <x:alignment horizontal="center" vertical="center"/>
    </x:xf>
    <x:xf numFmtId="202" fontId="4" fillId="2" borderId="86" xfId="0" applyNumberFormat="1" applyFont="1" applyFill="1" applyBorder="1" applyAlignment="1">
      <x:alignment horizontal="center" vertical="center"/>
    </x:xf>
    <x:xf numFmtId="202" fontId="4" fillId="2" borderId="87" xfId="0" applyNumberFormat="1" applyFont="1" applyFill="1" applyBorder="1" applyAlignment="1">
      <x:alignment horizontal="center" vertical="center"/>
    </x:xf>
    <x:xf numFmtId="202" fontId="4" fillId="4" borderId="79" xfId="0" applyNumberFormat="1" applyFont="1" applyFill="1" applyBorder="1" applyAlignment="1">
      <x:alignment horizontal="center" vertical="center"/>
    </x:xf>
    <x:xf numFmtId="202" fontId="4" fillId="4" borderId="86" xfId="0" applyNumberFormat="1" applyFont="1" applyFill="1" applyBorder="1" applyAlignment="1">
      <x:alignment horizontal="center" vertical="center"/>
    </x:xf>
    <x:xf numFmtId="202" fontId="4" fillId="4" borderId="87" xfId="0" applyNumberFormat="1" applyFont="1" applyFill="1" applyBorder="1" applyAlignment="1">
      <x:alignment horizontal="center" vertical="center"/>
    </x:xf>
    <x:xf numFmtId="202" fontId="4" fillId="22" borderId="79" xfId="0" applyNumberFormat="1" applyFont="1" applyFill="1" applyBorder="1" applyAlignment="1">
      <x:alignment horizontal="center" vertical="center"/>
    </x:xf>
    <x:xf numFmtId="202" fontId="4" fillId="22" borderId="86" xfId="0" applyNumberFormat="1" applyFont="1" applyFill="1" applyBorder="1" applyAlignment="1">
      <x:alignment horizontal="center" vertical="center"/>
    </x:xf>
    <x:xf numFmtId="202" fontId="12" fillId="10" borderId="38" xfId="0" applyNumberFormat="1" applyFont="1" applyFill="1" applyBorder="1" applyAlignment="1">
      <x:alignment horizontal="center" vertical="center"/>
    </x:xf>
    <x:xf numFmtId="202" fontId="12" fillId="10" borderId="39" xfId="0" applyNumberFormat="1" applyFont="1" applyFill="1" applyBorder="1" applyAlignment="1">
      <x:alignment horizontal="center" vertical="center"/>
    </x:xf>
    <x:xf numFmtId="202" fontId="12" fillId="10" borderId="40" xfId="0" applyNumberFormat="1" applyFont="1" applyFill="1" applyBorder="1" applyAlignment="1">
      <x:alignment horizontal="center" vertical="center"/>
    </x:xf>
    <x:xf numFmtId="202" fontId="12" fillId="14" borderId="38" xfId="0" applyNumberFormat="1" applyFont="1" applyFill="1" applyBorder="1" applyAlignment="1">
      <x:alignment horizontal="center" vertical="center"/>
    </x:xf>
    <x:xf numFmtId="202" fontId="12" fillId="14" borderId="39" xfId="0" applyNumberFormat="1" applyFont="1" applyFill="1" applyBorder="1" applyAlignment="1">
      <x:alignment horizontal="center" vertical="center"/>
    </x:xf>
    <x:xf numFmtId="202" fontId="12" fillId="14" borderId="40" xfId="0" applyNumberFormat="1" applyFont="1" applyFill="1" applyBorder="1" applyAlignment="1">
      <x:alignment horizontal="center" vertical="center"/>
    </x:xf>
    <x:xf numFmtId="202" fontId="12" fillId="2" borderId="38" xfId="0" applyNumberFormat="1" applyFont="1" applyFill="1" applyBorder="1" applyAlignment="1">
      <x:alignment horizontal="center" vertical="center"/>
    </x:xf>
    <x:xf numFmtId="202" fontId="12" fillId="2" borderId="39" xfId="0" applyNumberFormat="1" applyFont="1" applyFill="1" applyBorder="1" applyAlignment="1">
      <x:alignment horizontal="center" vertical="center"/>
    </x:xf>
    <x:xf numFmtId="202" fontId="12" fillId="2" borderId="40" xfId="0" applyNumberFormat="1" applyFont="1" applyFill="1" applyBorder="1" applyAlignment="1">
      <x:alignment horizontal="center" vertical="center"/>
    </x:xf>
    <x:xf numFmtId="202" fontId="12" fillId="4" borderId="38" xfId="0" applyNumberFormat="1" applyFont="1" applyFill="1" applyBorder="1" applyAlignment="1">
      <x:alignment horizontal="center" vertical="center"/>
    </x:xf>
    <x:xf numFmtId="202" fontId="12" fillId="4" borderId="39" xfId="0" applyNumberFormat="1" applyFont="1" applyFill="1" applyBorder="1" applyAlignment="1">
      <x:alignment horizontal="center" vertical="center"/>
    </x:xf>
    <x:xf numFmtId="202" fontId="12" fillId="4" borderId="40" xfId="0" applyNumberFormat="1" applyFont="1" applyFill="1" applyBorder="1" applyAlignment="1">
      <x:alignment horizontal="center" vertical="center"/>
    </x:xf>
    <x:xf numFmtId="202" fontId="12" fillId="22" borderId="38" xfId="0" applyNumberFormat="1" applyFont="1" applyFill="1" applyBorder="1" applyAlignment="1">
      <x:alignment horizontal="center" vertical="center"/>
    </x:xf>
    <x:xf numFmtId="202" fontId="12" fillId="22" borderId="39" xfId="0" applyNumberFormat="1" applyFont="1" applyFill="1" applyBorder="1" applyAlignment="1">
      <x:alignment horizontal="center" vertical="center"/>
    </x:xf>
    <x:xf numFmtId="202" fontId="12" fillId="10" borderId="79" xfId="0" applyNumberFormat="1" applyFont="1" applyFill="1" applyBorder="1" applyAlignment="1">
      <x:alignment horizontal="center" vertical="center"/>
    </x:xf>
    <x:xf numFmtId="202" fontId="12" fillId="10" borderId="86" xfId="0" applyNumberFormat="1" applyFont="1" applyFill="1" applyBorder="1" applyAlignment="1">
      <x:alignment horizontal="center" vertical="center"/>
    </x:xf>
    <x:xf numFmtId="202" fontId="12" fillId="10" borderId="87" xfId="0" applyNumberFormat="1" applyFont="1" applyFill="1" applyBorder="1" applyAlignment="1">
      <x:alignment horizontal="center" vertical="center"/>
    </x:xf>
    <x:xf numFmtId="202" fontId="12" fillId="14" borderId="79" xfId="0" applyNumberFormat="1" applyFont="1" applyFill="1" applyBorder="1" applyAlignment="1">
      <x:alignment horizontal="center" vertical="center"/>
    </x:xf>
    <x:xf numFmtId="202" fontId="12" fillId="14" borderId="86" xfId="0" applyNumberFormat="1" applyFont="1" applyFill="1" applyBorder="1" applyAlignment="1">
      <x:alignment horizontal="center" vertical="center"/>
    </x:xf>
    <x:xf numFmtId="202" fontId="12" fillId="14" borderId="87" xfId="0" applyNumberFormat="1" applyFont="1" applyFill="1" applyBorder="1" applyAlignment="1">
      <x:alignment horizontal="center" vertical="center"/>
    </x:xf>
    <x:xf numFmtId="202" fontId="12" fillId="2" borderId="79" xfId="0" applyNumberFormat="1" applyFont="1" applyFill="1" applyBorder="1" applyAlignment="1">
      <x:alignment horizontal="center" vertical="center"/>
    </x:xf>
    <x:xf numFmtId="202" fontId="12" fillId="2" borderId="86" xfId="0" applyNumberFormat="1" applyFont="1" applyFill="1" applyBorder="1" applyAlignment="1">
      <x:alignment horizontal="center" vertical="center"/>
    </x:xf>
    <x:xf numFmtId="202" fontId="12" fillId="2" borderId="87" xfId="0" applyNumberFormat="1" applyFont="1" applyFill="1" applyBorder="1" applyAlignment="1">
      <x:alignment horizontal="center" vertical="center"/>
    </x:xf>
    <x:xf numFmtId="202" fontId="12" fillId="4" borderId="79" xfId="0" applyNumberFormat="1" applyFont="1" applyFill="1" applyBorder="1" applyAlignment="1">
      <x:alignment horizontal="center" vertical="center"/>
    </x:xf>
    <x:xf numFmtId="202" fontId="12" fillId="4" borderId="86" xfId="0" applyNumberFormat="1" applyFont="1" applyFill="1" applyBorder="1" applyAlignment="1">
      <x:alignment horizontal="center" vertical="center"/>
    </x:xf>
    <x:xf numFmtId="202" fontId="12" fillId="4" borderId="87" xfId="0" applyNumberFormat="1" applyFont="1" applyFill="1" applyBorder="1" applyAlignment="1">
      <x:alignment horizontal="center" vertical="center"/>
    </x:xf>
    <x:xf numFmtId="202" fontId="12" fillId="22" borderId="79" xfId="0" applyNumberFormat="1" applyFont="1" applyFill="1" applyBorder="1" applyAlignment="1">
      <x:alignment horizontal="center" vertical="center"/>
    </x:xf>
    <x:xf numFmtId="202" fontId="12" fillId="22" borderId="86" xfId="0" applyNumberFormat="1" applyFont="1" applyFill="1" applyBorder="1" applyAlignment="1">
      <x:alignment horizontal="center" vertical="center"/>
    </x:xf>
    <x:xf numFmtId="203" fontId="5" fillId="8" borderId="21" xfId="0" applyNumberFormat="1" applyFont="1" applyFill="1" applyBorder="1"/>
    <x:xf numFmtId="203" fontId="5" fillId="8" borderId="1" xfId="0" applyNumberFormat="1" applyFont="1" applyFill="1" applyBorder="1"/>
    <x:xf numFmtId="203" fontId="5" fillId="8" borderId="2" xfId="0" applyNumberFormat="1" applyFont="1" applyFill="1" applyBorder="1"/>
    <x:xf numFmtId="203" fontId="5" fillId="0" borderId="21" xfId="0" applyNumberFormat="1" applyFont="1" applyFill="1" applyBorder="1"/>
    <x:xf numFmtId="203" fontId="5" fillId="0" borderId="1" xfId="0" applyNumberFormat="1" applyFont="1" applyFill="1" applyBorder="1"/>
    <x:xf numFmtId="203" fontId="5" fillId="13" borderId="1" xfId="0" applyNumberFormat="1" applyFont="1" applyFill="1" applyBorder="1"/>
    <x:xf numFmtId="203" fontId="5" fillId="0" borderId="2" xfId="0" applyNumberFormat="1" applyFont="1" applyFill="1" applyBorder="1"/>
    <x:xf numFmtId="203" fontId="5" fillId="17" borderId="1" xfId="0" applyNumberFormat="1" applyFont="1" applyFill="1" applyBorder="1"/>
    <x:xf numFmtId="203" fontId="5" fillId="9" borderId="1" xfId="0" applyNumberFormat="1" applyFont="1" applyFill="1" applyBorder="1"/>
    <x:xf numFmtId="203" fontId="5" fillId="7" borderId="1" xfId="0" applyNumberFormat="1" applyFont="1" applyFill="1" applyBorder="1"/>
    <x:xf numFmtId="203" fontId="5" fillId="0" borderId="22" xfId="0" applyNumberFormat="1" applyFont="1" applyFill="1" applyBorder="1"/>
    <x:xf numFmtId="203" fontId="5" fillId="0" borderId="19" xfId="0" applyNumberFormat="1" applyFont="1" applyFill="1" applyBorder="1"/>
    <x:xf numFmtId="203" fontId="5" fillId="13" borderId="19" xfId="0" applyNumberFormat="1" applyFont="1" applyFill="1" applyBorder="1"/>
    <x:xf numFmtId="203" fontId="5" fillId="0" borderId="18" xfId="0" applyNumberFormat="1" applyFont="1" applyFill="1" applyBorder="1"/>
    <x:xf numFmtId="203" fontId="5" fillId="17" borderId="19" xfId="0" applyNumberFormat="1" applyFont="1" applyFill="1" applyBorder="1"/>
    <x:xf numFmtId="203" fontId="5" fillId="9" borderId="19" xfId="0" applyNumberFormat="1" applyFont="1" applyFill="1" applyBorder="1"/>
    <x:xf numFmtId="203" fontId="5" fillId="7" borderId="19" xfId="0" applyNumberFormat="1" applyFont="1" applyFill="1" applyBorder="1"/>
    <x:xf numFmtId="203" fontId="5" fillId="8" borderId="60" xfId="0" applyNumberFormat="1" applyFont="1" applyFill="1" applyBorder="1"/>
    <x:xf numFmtId="203" fontId="5" fillId="8" borderId="53" xfId="0" applyNumberFormat="1" applyFont="1" applyFill="1" applyBorder="1"/>
    <x:xf numFmtId="203" fontId="5" fillId="8" borderId="52" xfId="0" applyNumberFormat="1" applyFont="1" applyFill="1" applyBorder="1"/>
    <x:xf numFmtId="203" fontId="5" fillId="0" borderId="60" xfId="0" applyNumberFormat="1" applyFont="1" applyFill="1" applyBorder="1"/>
    <x:xf numFmtId="203" fontId="5" fillId="0" borderId="53" xfId="0" applyNumberFormat="1" applyFont="1" applyFill="1" applyBorder="1"/>
    <x:xf numFmtId="203" fontId="5" fillId="13" borderId="53" xfId="0" applyNumberFormat="1" applyFont="1" applyFill="1" applyBorder="1"/>
    <x:xf numFmtId="203" fontId="5" fillId="0" borderId="52" xfId="0" applyNumberFormat="1" applyFont="1" applyFill="1" applyBorder="1"/>
    <x:xf numFmtId="203" fontId="5" fillId="17" borderId="53" xfId="0" applyNumberFormat="1" applyFont="1" applyFill="1" applyBorder="1"/>
    <x:xf numFmtId="203" fontId="5" fillId="9" borderId="53" xfId="0" applyNumberFormat="1" applyFont="1" applyFill="1" applyBorder="1"/>
    <x:xf numFmtId="203" fontId="5" fillId="7" borderId="53" xfId="0" applyNumberFormat="1" applyFont="1" applyFill="1" applyBorder="1"/>
    <x:xf numFmtId="203" fontId="5" fillId="0" borderId="61" xfId="0" applyNumberFormat="1" applyFont="1" applyFill="1" applyBorder="1"/>
    <x:xf numFmtId="203" fontId="5" fillId="0" borderId="55" xfId="0" applyNumberFormat="1" applyFont="1" applyFill="1" applyBorder="1"/>
    <x:xf numFmtId="203" fontId="5" fillId="13" borderId="55" xfId="0" applyNumberFormat="1" applyFont="1" applyFill="1" applyBorder="1"/>
    <x:xf numFmtId="203" fontId="5" fillId="0" borderId="54" xfId="0" applyNumberFormat="1" applyFont="1" applyFill="1" applyBorder="1"/>
    <x:xf numFmtId="203" fontId="5" fillId="17" borderId="55" xfId="0" applyNumberFormat="1" applyFont="1" applyFill="1" applyBorder="1"/>
    <x:xf numFmtId="203" fontId="5" fillId="9" borderId="55" xfId="0" applyNumberFormat="1" applyFont="1" applyFill="1" applyBorder="1"/>
    <x:xf numFmtId="203" fontId="5" fillId="7" borderId="55" xfId="0" applyNumberFormat="1" applyFont="1" applyFill="1" applyBorder="1"/>
    <x:xf numFmtId="0" fontId="5" fillId="8" borderId="3" xfId="0" applyNumberFormat="1" applyFont="1" applyFill="1" applyBorder="1" applyAlignment="1">
      <x:alignment horizontal="left" vertical="center" wrapText="1"/>
    </x:xf>
    <x:xf numFmtId="0" fontId="5" fillId="0" borderId="2" xfId="0" applyNumberFormat="1" applyFont="1" applyFill="1" applyBorder="1" applyAlignment="1">
      <x:alignment horizontal="left" vertical="center" wrapText="1"/>
    </x:xf>
    <x:xf numFmtId="0" fontId="5" fillId="8" borderId="2" xfId="0" applyNumberFormat="1" applyFont="1" applyFill="1" applyBorder="1" applyAlignment="1">
      <x:alignment horizontal="left" vertical="center" wrapText="1"/>
    </x:xf>
    <x:xf numFmtId="0" fontId="5" fillId="8" borderId="57" xfId="0" applyNumberFormat="1" applyFont="1" applyFill="1" applyBorder="1" applyAlignment="1">
      <x:alignment horizontal="left" vertical="center" wrapText="1"/>
    </x:xf>
    <x:xf numFmtId="0" fontId="5" fillId="0" borderId="52" xfId="0" applyNumberFormat="1" applyFont="1" applyFill="1" applyBorder="1" applyAlignment="1">
      <x:alignment horizontal="left" vertical="center" wrapText="1"/>
    </x:xf>
    <x:xf numFmtId="0" fontId="5" fillId="8" borderId="52" xfId="0" applyNumberFormat="1" applyFont="1" applyFill="1" applyBorder="1" applyAlignment="1">
      <x:alignment horizontal="left" vertical="center" wrapText="1"/>
    </x:xf>
    <x:xf numFmtId="0" fontId="5" fillId="8" borderId="4" xfId="0" applyNumberFormat="1" applyFont="1" applyFill="1" applyBorder="1" applyAlignment="1">
      <x:alignment horizontal="left" vertical="center" wrapText="1"/>
    </x:xf>
    <x:xf numFmtId="0" fontId="5" fillId="0" borderId="1" xfId="0" applyNumberFormat="1" applyFont="1" applyFill="1" applyBorder="1" applyAlignment="1">
      <x:alignment horizontal="left" vertical="center" wrapText="1"/>
    </x:xf>
    <x:xf numFmtId="0" fontId="5" fillId="8" borderId="1" xfId="0" applyNumberFormat="1" applyFont="1" applyFill="1" applyBorder="1" applyAlignment="1">
      <x:alignment horizontal="left" vertical="center" wrapText="1"/>
    </x:xf>
    <x:xf numFmtId="0" fontId="5" fillId="0" borderId="19" xfId="0" applyNumberFormat="1" applyFont="1" applyFill="1" applyBorder="1" applyAlignment="1">
      <x:alignment horizontal="left" vertical="center" wrapText="1"/>
    </x:xf>
    <x:xf numFmtId="0" fontId="0" fillId="0" borderId="0" xfId="0" applyNumberFormat="1" applyFont="1" applyFill="1" applyBorder="1"/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horizontal="left" vertical="center" wrapText="1"/>
    </x:xf>
    <x:xf numFmtId="0" fontId="3" fillId="0" borderId="0" xfId="0" applyNumberFormat="1" applyFont="1" applyFill="1" applyBorder="1"/>
    <x:xf numFmtId="0" fontId="5" fillId="0" borderId="0" xfId="0" applyNumberFormat="1" applyFont="1" applyFill="1" applyBorder="1"/>
    <x:xf numFmtId="0" fontId="6" fillId="0" borderId="0" xfId="0" applyNumberFormat="1" applyFont="1" applyFill="1" applyBorder="1" applyAlignment="1">
      <x:alignment horizontal="left" vertical="center"/>
    </x:xf>
    <x:xf numFmtId="0" fontId="7" fillId="8" borderId="8" xfId="0" applyNumberFormat="1" applyFont="1" applyFill="1" applyBorder="1" applyAlignment="1">
      <x:alignment horizontal="left" wrapText="1"/>
    </x:xf>
    <x:xf numFmtId="0" fontId="7" fillId="8" borderId="11" xfId="0" applyNumberFormat="1" applyFont="1" applyFill="1" applyBorder="1" applyAlignment="1">
      <x:alignment horizontal="left" wrapText="1"/>
    </x:xf>
    <x:xf numFmtId="0" fontId="7" fillId="8" borderId="11" xfId="0" applyNumberFormat="1" applyFont="1" applyFill="1" applyBorder="1" applyAlignment="1">
      <x:alignment horizontal="center" wrapText="1"/>
    </x:xf>
    <x:xf numFmtId="0" fontId="7" fillId="8" borderId="9" xfId="0" applyNumberFormat="1" applyFont="1" applyFill="1" applyBorder="1" applyAlignment="1">
      <x:alignment horizontal="left" vertical="top" wrapText="1"/>
    </x:xf>
    <x:xf numFmtId="0" fontId="7" fillId="8" borderId="10" xfId="0" applyNumberFormat="1" applyFont="1" applyFill="1" applyBorder="1" applyAlignment="1">
      <x:alignment horizontal="left" vertical="top" wrapText="1"/>
    </x:xf>
    <x:xf numFmtId="0" fontId="7" fillId="8" borderId="10" xfId="0" applyNumberFormat="1" applyFont="1" applyFill="1" applyBorder="1" applyAlignment="1">
      <x:alignment horizontal="center" vertical="top" wrapText="1"/>
    </x:xf>
    <x:xf numFmtId="0" fontId="8" fillId="12" borderId="7" xfId="0" applyNumberFormat="1" applyFont="1" applyFill="1" applyBorder="1" applyAlignment="1">
      <x:alignment horizontal="center" vertical="center"/>
    </x:xf>
    <x:xf numFmtId="0" fontId="8" fillId="12" borderId="6" xfId="0" applyNumberFormat="1" applyFont="1" applyFill="1" applyBorder="1" applyAlignment="1">
      <x:alignment horizontal="center" vertical="center"/>
    </x:xf>
    <x:xf numFmtId="0" fontId="8" fillId="16" borderId="5" xfId="0" applyNumberFormat="1" applyFont="1" applyFill="1" applyBorder="1" applyAlignment="1">
      <x:alignment horizontal="center" vertical="center"/>
    </x:xf>
    <x:xf numFmtId="0" fontId="8" fillId="16" borderId="6" xfId="0" applyNumberFormat="1" applyFont="1" applyFill="1" applyBorder="1" applyAlignment="1">
      <x:alignment horizontal="center" vertical="center"/>
    </x:xf>
    <x:xf numFmtId="0" fontId="8" fillId="6" borderId="5" xfId="0" applyNumberFormat="1" applyFont="1" applyFill="1" applyBorder="1" applyAlignment="1">
      <x:alignment horizontal="center" vertical="center"/>
    </x:xf>
    <x:xf numFmtId="0" fontId="8" fillId="6" borderId="6" xfId="0" applyNumberFormat="1" applyFont="1" applyFill="1" applyBorder="1" applyAlignment="1">
      <x:alignment horizontal="center" vertical="center"/>
    </x:xf>
    <x:xf numFmtId="0" fontId="5" fillId="8" borderId="2" xfId="0" applyNumberFormat="1" applyFont="1" applyFill="1" applyBorder="1"/>
    <x:xf numFmtId="0" fontId="5" fillId="8" borderId="1" xfId="0" applyNumberFormat="1" applyFont="1" applyFill="1" applyBorder="1"/>
    <x:xf numFmtId="0" fontId="5" fillId="0" borderId="2" xfId="0" applyNumberFormat="1" applyFont="1" applyFill="1" applyBorder="1"/>
    <x:xf numFmtId="0" fontId="5" fillId="0" borderId="1" xfId="0" applyNumberFormat="1" applyFont="1" applyFill="1" applyBorder="1"/>
    <x:xf numFmtId="0" fontId="5" fillId="13" borderId="1" xfId="0" applyNumberFormat="1" applyFont="1" applyFill="1" applyBorder="1"/>
    <x:xf numFmtId="0" fontId="5" fillId="17" borderId="1" xfId="0" applyNumberFormat="1" applyFont="1" applyFill="1" applyBorder="1"/>
    <x:xf numFmtId="0" fontId="5" fillId="7" borderId="1" xfId="0" applyNumberFormat="1" applyFont="1" applyFill="1" applyBorder="1"/>
    <x:xf numFmtId="0" fontId="5" fillId="0" borderId="18" xfId="0" applyNumberFormat="1" applyFont="1" applyFill="1" applyBorder="1"/>
    <x:xf numFmtId="0" fontId="5" fillId="0" borderId="19" xfId="0" applyNumberFormat="1" applyFont="1" applyFill="1" applyBorder="1"/>
    <x:xf numFmtId="0" fontId="5" fillId="13" borderId="19" xfId="0" applyNumberFormat="1" applyFont="1" applyFill="1" applyBorder="1"/>
    <x:xf numFmtId="0" fontId="5" fillId="17" borderId="19" xfId="0" applyNumberFormat="1" applyFont="1" applyFill="1" applyBorder="1"/>
    <x:xf numFmtId="0" fontId="5" fillId="7" borderId="19" xfId="0" applyNumberFormat="1" applyFont="1" applyFill="1" applyBorder="1"/>
    <x:xf numFmtId="0" fontId="8" fillId="18" borderId="5" xfId="0" applyNumberFormat="1" applyFont="1" applyFill="1" applyBorder="1" applyAlignment="1">
      <x:alignment horizontal="center" vertical="center"/>
    </x:xf>
    <x:xf numFmtId="0" fontId="8" fillId="18" borderId="6" xfId="0" applyNumberFormat="1" applyFont="1" applyFill="1" applyBorder="1" applyAlignment="1">
      <x:alignment horizontal="center" vertical="center"/>
    </x:xf>
    <x:xf numFmtId="0" fontId="5" fillId="9" borderId="1" xfId="0" applyNumberFormat="1" applyFont="1" applyFill="1" applyBorder="1"/>
    <x:xf numFmtId="0" fontId="5" fillId="9" borderId="19" xfId="0" applyNumberFormat="1" applyFont="1" applyFill="1" applyBorder="1"/>
    <x:xf numFmtId="0" fontId="5" fillId="0" borderId="0" xfId="0" applyNumberFormat="1" applyFont="1" applyFill="1" applyBorder="1" applyAlignment="1">
      <x:alignment horizontal="left" vertical="center" wrapText="1"/>
    </x:xf>
    <x:xf numFmtId="0" fontId="9" fillId="19" borderId="0" xfId="0" applyNumberFormat="1" applyFont="1" applyFill="1" applyBorder="1" applyAlignment="1">
      <x:alignment vertical="center"/>
    </x:xf>
    <x:xf numFmtId="0" fontId="5" fillId="19" borderId="0" xfId="0" applyNumberFormat="1" applyFont="1" applyFill="1" applyBorder="1" applyAlignment="1">
      <x:alignment horizontal="left" vertical="center" wrapText="1"/>
    </x:xf>
    <x:xf numFmtId="0" fontId="5" fillId="8" borderId="3" xfId="0" applyNumberFormat="1" applyFont="1" applyFill="1" applyBorder="1" applyAlignment="1">
      <x:alignment horizontal="left" vertical="center"/>
    </x:xf>
    <x:xf numFmtId="0" fontId="5" fillId="8" borderId="4" xfId="0" applyNumberFormat="1" applyFont="1" applyFill="1" applyBorder="1" applyAlignment="1">
      <x:alignment horizontal="left" vertical="center"/>
    </x:xf>
    <x:xf numFmtId="0" fontId="5" fillId="0" borderId="2" xfId="0" applyNumberFormat="1" applyFont="1" applyFill="1" applyBorder="1" applyAlignment="1">
      <x:alignment horizontal="left" vertical="center"/>
    </x:xf>
    <x:xf numFmtId="0" fontId="5" fillId="0" borderId="1" xfId="0" applyNumberFormat="1" applyFont="1" applyFill="1" applyBorder="1" applyAlignment="1">
      <x:alignment horizontal="left" vertical="center"/>
    </x:xf>
    <x:xf numFmtId="0" fontId="5" fillId="8" borderId="2" xfId="0" applyNumberFormat="1" applyFont="1" applyFill="1" applyBorder="1" applyAlignment="1">
      <x:alignment horizontal="left" vertical="center"/>
    </x:xf>
    <x:xf numFmtId="0" fontId="5" fillId="8" borderId="1" xfId="0" applyNumberFormat="1" applyFont="1" applyFill="1" applyBorder="1" applyAlignment="1">
      <x:alignment horizontal="left" vertical="center"/>
    </x:xf>
    <x:xf numFmtId="0" fontId="5" fillId="0" borderId="19" xfId="0" applyNumberFormat="1" applyFont="1" applyFill="1" applyBorder="1" applyAlignment="1">
      <x:alignment horizontal="left" vertical="center"/>
    </x:xf>
    <x:xf numFmtId="0" fontId="5" fillId="8" borderId="21" xfId="0" applyNumberFormat="1" applyFont="1" applyFill="1" applyBorder="1"/>
    <x:xf numFmtId="0" fontId="5" fillId="0" borderId="21" xfId="0" applyNumberFormat="1" applyFont="1" applyFill="1" applyBorder="1"/>
    <x:xf numFmtId="0" fontId="5" fillId="0" borderId="22" xfId="0" applyNumberFormat="1" applyFont="1" applyFill="1" applyBorder="1"/>
    <x:xf numFmtId="0" fontId="7" fillId="8" borderId="23" xfId="0" applyNumberFormat="1" applyFont="1" applyFill="1" applyBorder="1" applyAlignment="1">
      <x:alignment horizontal="center" wrapText="1"/>
    </x:xf>
    <x:xf numFmtId="0" fontId="7" fillId="8" borderId="24" xfId="0" applyNumberFormat="1" applyFont="1" applyFill="1" applyBorder="1" applyAlignment="1">
      <x:alignment horizontal="center" vertical="top" wrapText="1"/>
    </x:xf>
    <x:xf numFmtId="9" fontId="8" fillId="8" borderId="25" xfId="0" applyNumberFormat="1" applyFont="1" applyFill="1" applyBorder="1" applyAlignment="1">
      <x:alignment horizontal="center" vertical="center"/>
    </x:xf>
    <x:xf numFmtId="9" fontId="8" fillId="0" borderId="16" xfId="0" applyNumberFormat="1" applyFont="1" applyFill="1" applyBorder="1" applyAlignment="1">
      <x:alignment horizontal="center" vertical="center"/>
    </x:xf>
    <x:xf numFmtId="9" fontId="8" fillId="8" borderId="16" xfId="0" applyNumberFormat="1" applyFont="1" applyFill="1" applyBorder="1" applyAlignment="1">
      <x:alignment horizontal="center" vertical="center"/>
    </x:xf>
    <x:xf numFmtId="9" fontId="8" fillId="0" borderId="20" xfId="0" applyNumberFormat="1" applyFont="1" applyFill="1" applyBorder="1" applyAlignment="1">
      <x:alignment horizontal="center" vertical="center"/>
    </x:xf>
    <x:xf numFmtId="0" fontId="5" fillId="0" borderId="29" xfId="0" applyNumberFormat="1" applyFont="1" applyFill="1" applyBorder="1" applyAlignment="1">
      <x:alignment horizontal="left" vertical="center" wrapText="1"/>
    </x:xf>
    <x:xf numFmtId="0" fontId="7" fillId="13" borderId="26" xfId="0" applyNumberFormat="1" applyFont="1" applyFill="1" applyBorder="1" applyAlignment="1">
      <x:alignment horizontal="left" vertical="center" wrapText="1"/>
    </x:xf>
    <x:xf numFmtId="0" fontId="7" fillId="13" borderId="26" xfId="0" applyNumberFormat="1" applyFont="1" applyFill="1" applyBorder="1" applyAlignment="1">
      <x:alignment horizontal="left" vertical="center"/>
    </x:xf>
    <x:xf numFmtId="0" fontId="7" fillId="13" borderId="28" xfId="0" applyNumberFormat="1" applyFont="1" applyFill="1" applyBorder="1" applyAlignment="1">
      <x:alignment horizontal="left" vertical="center" wrapText="1"/>
    </x:xf>
    <x:xf numFmtId="0" fontId="7" fillId="13" borderId="30" xfId="0" applyNumberFormat="1" applyFont="1" applyFill="1" applyBorder="1" applyAlignment="1">
      <x:alignment horizontal="left" vertical="center" wrapText="1"/>
    </x:xf>
    <x:xf numFmtId="0" fontId="5" fillId="0" borderId="31" xfId="0" applyNumberFormat="1" applyFont="1" applyFill="1" applyBorder="1" applyAlignment="1">
      <x:alignment horizontal="left" vertical="center" wrapText="1"/>
    </x:xf>
    <x:xf numFmtId="0" fontId="5" fillId="9" borderId="27" xfId="0" applyNumberFormat="1" applyFont="1" applyFill="1" applyBorder="1" applyAlignment="1">
      <x:alignment horizontal="left" vertical="center" wrapText="1"/>
    </x:xf>
    <x:xf numFmtId="164" fontId="5" fillId="0" borderId="36" xfId="0" applyNumberFormat="1" applyFont="1" applyFill="1" applyBorder="1" applyAlignment="1">
      <x:alignment horizontal="center" vertical="center"/>
    </x:xf>
    <x:xf numFmtId="164" fontId="5" fillId="0" borderId="37" xfId="0" applyNumberFormat="1" applyFont="1" applyFill="1" applyBorder="1" applyAlignment="1">
      <x:alignment horizontal="center" vertical="center"/>
    </x:xf>
    <x:xf numFmtId="0" fontId="7" fillId="8" borderId="34" xfId="0" applyNumberFormat="1" applyFont="1" applyFill="1" applyBorder="1" applyAlignment="1">
      <x:alignment horizontal="center" wrapText="1"/>
    </x:xf>
    <x:xf numFmtId="0" fontId="7" fillId="8" borderId="32" xfId="0" applyNumberFormat="1" applyFont="1" applyFill="1" applyBorder="1" applyAlignment="1">
      <x:alignment horizontal="center" wrapText="1"/>
    </x:xf>
    <x:xf numFmtId="0" fontId="7" fillId="8" borderId="30" xfId="0" applyNumberFormat="1" applyFont="1" applyFill="1" applyBorder="1" applyAlignment="1">
      <x:alignment horizontal="center" vertical="top" wrapText="1"/>
    </x:xf>
    <x:xf numFmtId="0" fontId="7" fillId="8" borderId="31" xfId="0" applyNumberFormat="1" applyFont="1" applyFill="1" applyBorder="1" applyAlignment="1">
      <x:alignment horizontal="center" vertical="top" wrapText="1"/>
    </x:xf>
    <x:xf numFmtId="0" fontId="8" fillId="21" borderId="5" xfId="0" applyNumberFormat="1" applyFont="1" applyFill="1" applyBorder="1" applyAlignment="1">
      <x:alignment horizontal="center" vertical="center"/>
    </x:xf>
    <x:xf numFmtId="0" fontId="8" fillId="21" borderId="6" xfId="0" applyNumberFormat="1" applyFont="1" applyFill="1" applyBorder="1" applyAlignment="1">
      <x:alignment horizontal="center" vertical="center"/>
    </x:xf>
    <x:xf numFmtId="0" fontId="4" fillId="22" borderId="38" xfId="0" applyNumberFormat="1" applyFont="1" applyFill="1" applyBorder="1" applyAlignment="1">
      <x:alignment vertical="center"/>
    </x:xf>
    <x:xf numFmtId="0" fontId="4" fillId="20" borderId="14" xfId="0" applyNumberFormat="1" applyFont="1" applyFill="1" applyBorder="1" applyAlignment="1">
      <x:alignment vertical="center"/>
    </x:xf>
    <x:xf numFmtId="0" fontId="4" fillId="3" borderId="14" xfId="0" applyNumberFormat="1" applyFont="1" applyFill="1" applyBorder="1" applyAlignment="1">
      <x:alignment horizontal="center" vertical="center"/>
    </x:xf>
    <x:xf numFmtId="0" fontId="4" fillId="3" borderId="13" xfId="0" applyNumberFormat="1" applyFont="1" applyFill="1" applyBorder="1" applyAlignment="1">
      <x:alignment horizontal="center" vertical="center"/>
    </x:xf>
    <x:xf numFmtId="0" fontId="4" fillId="5" borderId="14" xfId="0" applyNumberFormat="1" applyFont="1" applyFill="1" applyBorder="1" applyAlignment="1">
      <x:alignment horizontal="center" vertical="center"/>
    </x:xf>
    <x:xf numFmtId="0" fontId="4" fillId="5" borderId="13" xfId="0" applyNumberFormat="1" applyFont="1" applyFill="1" applyBorder="1" applyAlignment="1">
      <x:alignment horizontal="center" vertical="center"/>
    </x:xf>
    <x:xf numFmtId="0" fontId="4" fillId="11" borderId="12" xfId="0" applyNumberFormat="1" applyFont="1" applyFill="1" applyBorder="1" applyAlignment="1">
      <x:alignment horizontal="center" vertical="center"/>
    </x:xf>
    <x:xf numFmtId="0" fontId="4" fillId="11" borderId="13" xfId="0" applyNumberFormat="1" applyFont="1" applyFill="1" applyBorder="1" applyAlignment="1">
      <x:alignment horizontal="center" vertical="center"/>
    </x:xf>
    <x:xf numFmtId="0" fontId="4" fillId="15" borderId="14" xfId="0" applyNumberFormat="1" applyFont="1" applyFill="1" applyBorder="1" applyAlignment="1">
      <x:alignment horizontal="center" vertical="center"/>
    </x:xf>
    <x:xf numFmtId="0" fontId="4" fillId="15" borderId="13" xfId="0" applyNumberFormat="1" applyFont="1" applyFill="1" applyBorder="1" applyAlignment="1">
      <x:alignment horizontal="center" vertical="center"/>
    </x:xf>
    <x:xf numFmtId="0" fontId="4" fillId="20" borderId="43" xfId="0" applyNumberFormat="1" applyFont="1" applyFill="1" applyBorder="1" applyAlignment="1">
      <x:alignment horizontal="center" vertical="center"/>
    </x:xf>
    <x:xf numFmtId="0" fontId="4" fillId="20" borderId="41" xfId="0" applyNumberFormat="1" applyFont="1" applyFill="1" applyBorder="1" applyAlignment="1">
      <x:alignment horizontal="center" vertical="center"/>
    </x:xf>
    <x:xf numFmtId="0" fontId="4" fillId="20" borderId="42" xfId="0" applyNumberFormat="1" applyFont="1" applyFill="1" applyBorder="1" applyAlignment="1">
      <x:alignment horizontal="center" vertical="center"/>
    </x:xf>
    <x:xf numFmtId="0" fontId="4" fillId="10" borderId="38" xfId="0" applyNumberFormat="1" applyFont="1" applyFill="1" applyBorder="1" applyAlignment="1">
      <x:alignment horizontal="center" vertical="center"/>
    </x:xf>
    <x:xf numFmtId="0" fontId="4" fillId="10" borderId="39" xfId="0" applyNumberFormat="1" applyFont="1" applyFill="1" applyBorder="1" applyAlignment="1">
      <x:alignment horizontal="center" vertical="center"/>
    </x:xf>
    <x:xf numFmtId="0" fontId="4" fillId="10" borderId="40" xfId="0" applyNumberFormat="1" applyFont="1" applyFill="1" applyBorder="1" applyAlignment="1">
      <x:alignment horizontal="center" vertical="center"/>
    </x:xf>
    <x:xf numFmtId="0" fontId="4" fillId="14" borderId="38" xfId="0" applyNumberFormat="1" applyFont="1" applyFill="1" applyBorder="1" applyAlignment="1">
      <x:alignment horizontal="center" vertical="center"/>
    </x:xf>
    <x:xf numFmtId="0" fontId="4" fillId="14" borderId="39" xfId="0" applyNumberFormat="1" applyFont="1" applyFill="1" applyBorder="1" applyAlignment="1">
      <x:alignment horizontal="center" vertical="center"/>
    </x:xf>
    <x:xf numFmtId="0" fontId="4" fillId="14" borderId="40" xfId="0" applyNumberFormat="1" applyFont="1" applyFill="1" applyBorder="1" applyAlignment="1">
      <x:alignment horizontal="center" vertical="center"/>
    </x:xf>
    <x:xf numFmtId="0" fontId="4" fillId="2" borderId="38" xfId="0" applyNumberFormat="1" applyFont="1" applyFill="1" applyBorder="1" applyAlignment="1">
      <x:alignment horizontal="center" vertical="center"/>
    </x:xf>
    <x:xf numFmtId="0" fontId="4" fillId="2" borderId="39" xfId="0" applyNumberFormat="1" applyFont="1" applyFill="1" applyBorder="1" applyAlignment="1">
      <x:alignment horizontal="center" vertical="center"/>
    </x:xf>
    <x:xf numFmtId="0" fontId="4" fillId="2" borderId="40" xfId="0" applyNumberFormat="1" applyFont="1" applyFill="1" applyBorder="1" applyAlignment="1">
      <x:alignment horizontal="center" vertical="center"/>
    </x:xf>
    <x:xf numFmtId="0" fontId="4" fillId="4" borderId="38" xfId="0" applyNumberFormat="1" applyFont="1" applyFill="1" applyBorder="1" applyAlignment="1">
      <x:alignment horizontal="center" vertical="center"/>
    </x:xf>
    <x:xf numFmtId="0" fontId="4" fillId="4" borderId="39" xfId="0" applyNumberFormat="1" applyFont="1" applyFill="1" applyBorder="1" applyAlignment="1">
      <x:alignment horizontal="center" vertical="center"/>
    </x:xf>
    <x:xf numFmtId="0" fontId="4" fillId="4" borderId="40" xfId="0" applyNumberFormat="1" applyFont="1" applyFill="1" applyBorder="1" applyAlignment="1">
      <x:alignment horizontal="center" vertical="center"/>
    </x:xf>
    <x:xf numFmtId="0" fontId="4" fillId="22" borderId="38" xfId="0" applyNumberFormat="1" applyFont="1" applyFill="1" applyBorder="1" applyAlignment="1">
      <x:alignment horizontal="center" vertical="center"/>
    </x:xf>
    <x:xf numFmtId="0" fontId="4" fillId="22" borderId="39" xfId="0" applyNumberFormat="1" applyFont="1" applyFill="1" applyBorder="1" applyAlignment="1">
      <x:alignment horizontal="center" vertical="center"/>
    </x:xf>
    <x:xf numFmtId="0" fontId="4" fillId="5" borderId="43" xfId="0" applyNumberFormat="1" applyFont="1" applyFill="1" applyBorder="1" applyAlignment="1">
      <x:alignment horizontal="center" vertical="center"/>
    </x:xf>
    <x:xf numFmtId="0" fontId="4" fillId="5" borderId="41" xfId="0" applyNumberFormat="1" applyFont="1" applyFill="1" applyBorder="1" applyAlignment="1">
      <x:alignment horizontal="center" vertical="center"/>
    </x:xf>
    <x:xf numFmtId="0" fontId="4" fillId="5" borderId="42" xfId="0" applyNumberFormat="1" applyFont="1" applyFill="1" applyBorder="1" applyAlignment="1">
      <x:alignment horizontal="center" vertical="center"/>
    </x:xf>
  </x:cellXfs>
  <x:cellStyles count="3">
    <x:cellStyle name="Normal" xfId="0"/>
    <x:cellStyle name="Normal 2" xfId="2"/>
    <x:cellStyle name="Porcentaje" xfId="1"/>
  </x:cellStyles>
  <x:dxfs count="1">
    <x:dxf>
      <x:font>
        <x:color rgb="FF5B9BD5"/>
      </x:font>
      <x:fill>
        <x:patternFill>
          <x:bgColor rgb="FF5B9BD5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78b87bc1c0a474d" /><Relationship Type="http://schemas.openxmlformats.org/officeDocument/2006/relationships/theme" Target="/xl/theme/theme1.xml" Id="R0f731fe6618c4c28" /><Relationship Type="http://schemas.openxmlformats.org/officeDocument/2006/relationships/sharedStrings" Target="/xl/sharedStrings.xml" Id="Rf1bafbbc4c764343" /><Relationship Type="http://schemas.openxmlformats.org/officeDocument/2006/relationships/worksheet" Target="/xl/worksheets/sheet1.xml" Id="R570747d21ae74ffe" /></Relationships>
</file>

<file path=xl/theme/theme1.xml><?xml version="1.0" encoding="utf-8"?>
<a:theme xmlns:a="http://schemas.openxmlformats.org/drawingml/2006/main" name="Headlines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phClr">
            <a:tint val="67000"/>
            <a:satMod val="105000"/>
          </a:schemeClr>
        </a:solidFill>
        <a:gradFill rotWithShape="1">
          <a:gsLst>
            <a:gs pos="0">
              <a:schemeClr val="phClr">
                <a:tint val="100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0000"/>
                <a:lumMod val="99000"/>
                <a:satMod val="120000"/>
              </a:schemeClr>
            </a:gs>
          </a:gsLst>
          <a:path path="circle">
            <a:fillToRect l="100000" t="100000" r="100000" b="100000"/>
          </a:path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>
              <a:satMod val="150000"/>
            </a:schemeClr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innerShdw blurRad="88900" dist="25400" dir="10800000">
              <a:srgbClr val="000000">
                <a:alpha val="25000"/>
              </a:srgbClr>
            </a:innerShdw>
            <a:outerShdw blurRad="25400" dist="25400" dir="5400000" rotWithShape="0">
              <a:srgbClr val="FFFFFF">
                <a:alpha val="10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theme="3" tint="0.39998"/>
  </x:sheetPr>
  <x:sheetViews>
    <x:sheetView showGridLines="0" workbookViewId="0"/>
  </x:sheetViews>
  <x:sheetFormatPr baseColWidth="10" defaultColWidth="10.84375" defaultRowHeight="15.5"/>
  <x:cols>
    <x:col min="1" max="1" width="2.4609375" customWidth="1"/>
    <x:col min="2" max="2" width="14.15234375" customWidth="1"/>
    <x:col min="3" max="3" width="34" hidden="0" customWidth="1"/>
    <x:col min="4" max="4" width="18" hidden="0" customWidth="1"/>
    <x:col min="5" max="7" width="9.84375" customWidth="1"/>
    <x:col min="8" max="8" width="12" hidden="0" customWidth="1"/>
    <x:col min="9" max="93" width="3.3046875" customWidth="1"/>
    <x:col min="94" max="94" width="1.3046875" customWidth="1"/>
    <x:col min="5" max="5" width="13" hidden="0" customWidth="1"/>
    <x:col min="6" max="6" width="13" hidden="0" customWidth="1"/>
    <x:col min="7" max="7" width="12" hidden="0" customWidth="1"/>
  </x:cols>
  <x:sheetData>
    <x:row r="1" s="34" customFormat="1" ht="50" customHeight="1">
      <x:c r="B1" s="35" t="s">
        <x:v>0</x:v>
      </x:c>
      <x:c r="C1" s="35"/>
      <x:c r="D1" s="35"/>
      <x:c r="E1" s="35"/>
      <x:c r="F1" s="35"/>
      <x:c r="G1" s="35"/>
      <x:c r="H1" s="35"/>
      <x:c r="I1" s="35"/>
      <x:c r="J1" s="35"/>
      <x:c r="K1" s="35"/>
      <x:c r="L1" s="35"/>
      <x:c r="M1" s="36"/>
      <x:c r="N1"/>
      <x:c r="O1"/>
      <x:c r="P1"/>
      <x:c r="Q1" s="36"/>
      <x:c r="R1" s="36"/>
      <x:c r="S1" s="36"/>
    </x:row>
    <x:row r="2" s="1" customFormat="1" ht="35" customHeight="1">
      <x:c r="B2" s="61" t="s">
        <x:v>1</x:v>
      </x:c>
      <x:c r="C2" s="66" t="str">
        <x:v>Plataforma de Gestión del Conocimiento y Procedimientos de Soporte TI</x:v>
      </x:c>
    </x:row>
    <x:row r="3" s="1" customFormat="1" ht="23.5">
      <x:c r="B3" s="64" t="s">
        <x:v>2</x:v>
      </x:c>
      <x:c r="C3" s="65" t="str">
        <x:v>Carolina Cheuquepil</x:v>
      </x:c>
    </x:row>
    <x:row r="4" s="1" customFormat="1" ht="23.5">
      <x:c r="B4" s="63" t="s">
        <x:v>3</x:v>
      </x:c>
      <x:c r="C4" s="60" t="str">
        <x:v>Holding Dimarsa</x:v>
      </x:c>
    </x:row>
    <x:row r="5" s="1" customFormat="1" ht="16">
      <x:c r="B5" s="62" t="s">
        <x:v>4</x:v>
      </x:c>
      <x:c r="C5" s="224" t="n">
        <x:v>46244</x:v>
      </x:c>
    </x:row>
    <x:row r="6" s="1" customFormat="1" ht="18" customHeight="1">
      <x:c r="B6" s="2"/>
    </x:row>
    <x:row r="7" ht="20" customHeight="1">
      <x:c r="B7" s="4"/>
      <x:c r="C7" s="5"/>
      <x:c r="D7" s="5"/>
      <x:c r="E7" s="5"/>
      <x:c r="F7" s="5"/>
      <x:c r="G7" s="5"/>
      <x:c r="H7" s="5"/>
      <x:c r="I7" s="278" t="n">
        <x:v>46244</x:v>
      </x:c>
      <x:c r="J7" s="279" t="n">
        <x:v>46245</x:v>
      </x:c>
      <x:c r="K7" s="279" t="n">
        <x:v>46246</x:v>
      </x:c>
      <x:c r="L7" s="279" t="n">
        <x:v>46247</x:v>
      </x:c>
      <x:c r="M7" s="279" t="n">
        <x:v>46248</x:v>
      </x:c>
      <x:c r="N7" s="279" t="n">
        <x:v>46251</x:v>
      </x:c>
      <x:c r="O7" s="279" t="n">
        <x:v>46252</x:v>
      </x:c>
      <x:c r="P7" s="279" t="n">
        <x:v>46253</x:v>
      </x:c>
      <x:c r="Q7" s="279" t="n">
        <x:v>46254</x:v>
      </x:c>
      <x:c r="R7" s="279" t="n">
        <x:v>46255</x:v>
      </x:c>
      <x:c r="S7" s="279" t="n">
        <x:v>46258</x:v>
      </x:c>
      <x:c r="T7" s="279" t="n">
        <x:v>46259</x:v>
      </x:c>
      <x:c r="U7" s="279" t="n">
        <x:v>46260</x:v>
      </x:c>
      <x:c r="V7" s="279" t="n">
        <x:v>46261</x:v>
      </x:c>
      <x:c r="W7" s="279" t="n">
        <x:v>46262</x:v>
      </x:c>
      <x:c r="X7" s="279" t="n">
        <x:v>46265</x:v>
      </x:c>
      <x:c r="Y7" s="279" t="n">
        <x:v>46266</x:v>
      </x:c>
      <x:c r="Z7" s="279" t="n">
        <x:v>46267</x:v>
      </x:c>
      <x:c r="AA7" s="279" t="n">
        <x:v>46268</x:v>
      </x:c>
      <x:c r="AB7" s="280" t="n">
        <x:v>46269</x:v>
      </x:c>
      <x:c r="AC7" s="281" t="n">
        <x:v>46272</x:v>
      </x:c>
      <x:c r="AD7" s="282" t="n">
        <x:v>46273</x:v>
      </x:c>
      <x:c r="AE7" s="282" t="n">
        <x:v>46274</x:v>
      </x:c>
      <x:c r="AF7" s="282" t="n">
        <x:v>46275</x:v>
      </x:c>
      <x:c r="AG7" s="282" t="n">
        <x:v>46276</x:v>
      </x:c>
      <x:c r="AH7" s="282" t="n">
        <x:v>46279</x:v>
      </x:c>
      <x:c r="AI7" s="282" t="n">
        <x:v>46280</x:v>
      </x:c>
      <x:c r="AJ7" s="282" t="n">
        <x:v>46281</x:v>
      </x:c>
      <x:c r="AK7" s="282" t="n">
        <x:v>46282</x:v>
      </x:c>
      <x:c r="AL7" s="282" t="n">
        <x:v>46283</x:v>
      </x:c>
      <x:c r="AM7" s="282" t="n">
        <x:v>46286</x:v>
      </x:c>
      <x:c r="AN7" s="282" t="n">
        <x:v>46287</x:v>
      </x:c>
      <x:c r="AO7" s="282" t="n">
        <x:v>46288</x:v>
      </x:c>
      <x:c r="AP7" s="282" t="n">
        <x:v>46289</x:v>
      </x:c>
      <x:c r="AQ7" s="282" t="n">
        <x:v>46290</x:v>
      </x:c>
      <x:c r="AR7" s="282" t="n">
        <x:v>46293</x:v>
      </x:c>
      <x:c r="AS7" s="282" t="n">
        <x:v>46294</x:v>
      </x:c>
      <x:c r="AT7" s="282" t="n">
        <x:v>46295</x:v>
      </x:c>
      <x:c r="AU7" s="282" t="n">
        <x:v>46296</x:v>
      </x:c>
      <x:c r="AV7" s="283" t="n">
        <x:v>46297</x:v>
      </x:c>
      <x:c r="AW7" s="284" t="n">
        <x:v>46300</x:v>
      </x:c>
      <x:c r="AX7" s="285" t="n">
        <x:v>46301</x:v>
      </x:c>
      <x:c r="AY7" s="285" t="n">
        <x:v>46302</x:v>
      </x:c>
      <x:c r="AZ7" s="285" t="n">
        <x:v>46303</x:v>
      </x:c>
      <x:c r="BA7" s="285" t="n">
        <x:v>46304</x:v>
      </x:c>
      <x:c r="BB7" s="285" t="n">
        <x:v>46307</x:v>
      </x:c>
      <x:c r="BC7" s="285" t="n">
        <x:v>46308</x:v>
      </x:c>
      <x:c r="BD7" s="285" t="n">
        <x:v>46309</x:v>
      </x:c>
      <x:c r="BE7" s="285" t="n">
        <x:v>46310</x:v>
      </x:c>
      <x:c r="BF7" s="285" t="n">
        <x:v>46311</x:v>
      </x:c>
      <x:c r="BG7" s="285" t="n">
        <x:v>46314</x:v>
      </x:c>
      <x:c r="BH7" s="285" t="n">
        <x:v>46315</x:v>
      </x:c>
      <x:c r="BI7" s="285" t="n">
        <x:v>46316</x:v>
      </x:c>
      <x:c r="BJ7" s="285" t="n">
        <x:v>46317</x:v>
      </x:c>
      <x:c r="BK7" s="285" t="n">
        <x:v>46318</x:v>
      </x:c>
      <x:c r="BL7" s="285" t="n">
        <x:v>46321</x:v>
      </x:c>
      <x:c r="BM7" s="285" t="n">
        <x:v>46322</x:v>
      </x:c>
      <x:c r="BN7" s="285" t="n">
        <x:v>46323</x:v>
      </x:c>
      <x:c r="BO7" s="285" t="n">
        <x:v>46324</x:v>
      </x:c>
      <x:c r="BP7" s="286" t="n">
        <x:v>46325</x:v>
      </x:c>
      <x:c r="BQ7" s="287" t="n">
        <x:v>46328</x:v>
      </x:c>
      <x:c r="BR7" s="288" t="n">
        <x:v>46329</x:v>
      </x:c>
      <x:c r="BS7" s="288" t="n">
        <x:v>46330</x:v>
      </x:c>
      <x:c r="BT7" s="288" t="n">
        <x:v>46331</x:v>
      </x:c>
      <x:c r="BU7" s="288" t="n">
        <x:v>46332</x:v>
      </x:c>
      <x:c r="BV7" s="288" t="n">
        <x:v>46335</x:v>
      </x:c>
      <x:c r="BW7" s="288" t="n">
        <x:v>46336</x:v>
      </x:c>
      <x:c r="BX7" s="288" t="n">
        <x:v>46337</x:v>
      </x:c>
      <x:c r="BY7" s="288" t="n">
        <x:v>46338</x:v>
      </x:c>
      <x:c r="BZ7" s="288" t="n">
        <x:v>46339</x:v>
      </x:c>
      <x:c r="CA7" s="288" t="n">
        <x:v>46342</x:v>
      </x:c>
      <x:c r="CB7" s="288" t="n">
        <x:v>46343</x:v>
      </x:c>
      <x:c r="CC7" s="288" t="n">
        <x:v>46344</x:v>
      </x:c>
      <x:c r="CD7" s="288" t="n">
        <x:v>46345</x:v>
      </x:c>
      <x:c r="CE7" s="288" t="n">
        <x:v>46346</x:v>
      </x:c>
      <x:c r="CF7" s="288" t="n">
        <x:v>46349</x:v>
      </x:c>
      <x:c r="CG7" s="288" t="n">
        <x:v>46350</x:v>
      </x:c>
      <x:c r="CH7" s="288" t="n">
        <x:v>46351</x:v>
      </x:c>
      <x:c r="CI7" s="288" t="n">
        <x:v>46352</x:v>
      </x:c>
      <x:c r="CJ7" s="289" t="n">
        <x:v>46353</x:v>
      </x:c>
      <x:c r="CK7" s="290" t="n">
        <x:v>46356</x:v>
      </x:c>
      <x:c r="CL7" s="291" t="n">
        <x:v>46357</x:v>
      </x:c>
      <x:c r="CM7" s="291" t="n">
        <x:v>46358</x:v>
      </x:c>
      <x:c r="CN7" s="291" t="n">
        <x:v>46359</x:v>
      </x:c>
      <x:c r="CO7" s="291" t="n">
        <x:v>46360</x:v>
      </x:c>
      <x:c r="CP7" s="83"/>
    </x:row>
    <x:row r="8" ht="24">
      <x:c r="B8" s="6" t="s">
        <x:v>5</x:v>
      </x:c>
      <x:c r="C8" s="7" t="s">
        <x:v>6</x:v>
      </x:c>
      <x:c r="D8" s="7" t="s">
        <x:v>7</x:v>
      </x:c>
      <x:c r="E8" s="77" t="s">
        <x:v>8</x:v>
      </x:c>
      <x:c r="F8" s="78" t="s">
        <x:v>8</x:v>
      </x:c>
      <x:c r="G8" s="8" t="s">
        <x:v>9</x:v>
      </x:c>
      <x:c r="H8" s="53" t="s">
        <x:v>10</x:v>
      </x:c>
      <x:c r="I8" s="89" t="s">
        <x:v>11</x:v>
      </x:c>
      <x:c r="J8" s="90"/>
      <x:c r="K8" s="90"/>
      <x:c r="L8" s="90"/>
      <x:c r="M8" s="90"/>
      <x:c r="N8" s="89" t="s">
        <x:v>12</x:v>
      </x:c>
      <x:c r="O8" s="90"/>
      <x:c r="P8" s="90"/>
      <x:c r="Q8" s="90"/>
      <x:c r="R8" s="90"/>
      <x:c r="S8" s="89" t="s">
        <x:v>13</x:v>
      </x:c>
      <x:c r="T8" s="90"/>
      <x:c r="U8" s="90"/>
      <x:c r="V8" s="90"/>
      <x:c r="W8" s="90"/>
      <x:c r="X8" s="89" t="s">
        <x:v>14</x:v>
      </x:c>
      <x:c r="Y8" s="90"/>
      <x:c r="Z8" s="90"/>
      <x:c r="AA8" s="90"/>
      <x:c r="AB8" s="90"/>
      <x:c r="AC8" s="91" t="s">
        <x:v>15</x:v>
      </x:c>
      <x:c r="AD8" s="92"/>
      <x:c r="AE8" s="92"/>
      <x:c r="AF8" s="92"/>
      <x:c r="AG8" s="92"/>
      <x:c r="AH8" s="91" t="s">
        <x:v>16</x:v>
      </x:c>
      <x:c r="AI8" s="92"/>
      <x:c r="AJ8" s="92"/>
      <x:c r="AK8" s="92"/>
      <x:c r="AL8" s="92"/>
      <x:c r="AM8" s="91" t="s">
        <x:v>17</x:v>
      </x:c>
      <x:c r="AN8" s="92"/>
      <x:c r="AO8" s="92"/>
      <x:c r="AP8" s="92"/>
      <x:c r="AQ8" s="92"/>
      <x:c r="AR8" s="91" t="s">
        <x:v>18</x:v>
      </x:c>
      <x:c r="AS8" s="92"/>
      <x:c r="AT8" s="92"/>
      <x:c r="AU8" s="92"/>
      <x:c r="AV8" s="92"/>
      <x:c r="AW8" s="85" t="s">
        <x:v>19</x:v>
      </x:c>
      <x:c r="AX8" s="86"/>
      <x:c r="AY8" s="86"/>
      <x:c r="AZ8" s="86"/>
      <x:c r="BA8" s="86"/>
      <x:c r="BB8" s="85" t="s">
        <x:v>20</x:v>
      </x:c>
      <x:c r="BC8" s="86"/>
      <x:c r="BD8" s="86"/>
      <x:c r="BE8" s="86"/>
      <x:c r="BF8" s="86"/>
      <x:c r="BG8" s="85" t="s">
        <x:v>21</x:v>
      </x:c>
      <x:c r="BH8" s="86"/>
      <x:c r="BI8" s="86"/>
      <x:c r="BJ8" s="86"/>
      <x:c r="BK8" s="86"/>
      <x:c r="BL8" s="85" t="s">
        <x:v>22</x:v>
      </x:c>
      <x:c r="BM8" s="86"/>
      <x:c r="BN8" s="86"/>
      <x:c r="BO8" s="86"/>
      <x:c r="BP8" s="86"/>
      <x:c r="BQ8" s="87" t="s">
        <x:v>23</x:v>
      </x:c>
      <x:c r="BR8" s="88"/>
      <x:c r="BS8" s="88"/>
      <x:c r="BT8" s="88"/>
      <x:c r="BU8" s="88"/>
      <x:c r="BV8" s="87" t="s">
        <x:v>24</x:v>
      </x:c>
      <x:c r="BW8" s="88"/>
      <x:c r="BX8" s="88"/>
      <x:c r="BY8" s="88"/>
      <x:c r="BZ8" s="88"/>
      <x:c r="CA8" s="87" t="s">
        <x:v>25</x:v>
      </x:c>
      <x:c r="CB8" s="88"/>
      <x:c r="CC8" s="88"/>
      <x:c r="CD8" s="88"/>
      <x:c r="CE8" s="88"/>
      <x:c r="CF8" s="110" t="s">
        <x:v>26</x:v>
      </x:c>
      <x:c r="CG8" s="111"/>
      <x:c r="CH8" s="111"/>
      <x:c r="CI8" s="111"/>
      <x:c r="CJ8" s="112"/>
      <x:c r="CK8" s="93" t="s">
        <x:v>27</x:v>
      </x:c>
      <x:c r="CL8" s="94"/>
      <x:c r="CM8" s="94"/>
      <x:c r="CN8" s="94"/>
      <x:c r="CO8" s="95"/>
      <x:c r="CP8" s="84"/>
    </x:row>
    <x:row r="9" ht="20" customHeight="1">
      <x:c r="B9" s="9" t="s">
        <x:v>28</x:v>
      </x:c>
      <x:c r="C9" s="10" t="s">
        <x:v>28</x:v>
      </x:c>
      <x:c r="D9" s="10" t="s">
        <x:v>29</x:v>
      </x:c>
      <x:c r="E9" s="79" t="s">
        <x:v>30</x:v>
      </x:c>
      <x:c r="F9" s="80" t="s">
        <x:v>31</x:v>
      </x:c>
      <x:c r="G9" s="11" t="s">
        <x:v>32</x:v>
      </x:c>
      <x:c r="H9" s="54" t="s">
        <x:v>33</x:v>
      </x:c>
      <x:c r="I9" s="12" t="s">
        <x:v>34</x:v>
      </x:c>
      <x:c r="J9" s="13" t="s">
        <x:v>35</x:v>
      </x:c>
      <x:c r="K9" s="13" t="s">
        <x:v>36</x:v>
      </x:c>
      <x:c r="L9" s="13" t="s">
        <x:v>37</x:v>
      </x:c>
      <x:c r="M9" s="13" t="s">
        <x:v>38</x:v>
      </x:c>
      <x:c r="N9" s="12" t="s">
        <x:v>34</x:v>
      </x:c>
      <x:c r="O9" s="13" t="s">
        <x:v>35</x:v>
      </x:c>
      <x:c r="P9" s="13" t="s">
        <x:v>36</x:v>
      </x:c>
      <x:c r="Q9" s="13" t="s">
        <x:v>37</x:v>
      </x:c>
      <x:c r="R9" s="13" t="s">
        <x:v>38</x:v>
      </x:c>
      <x:c r="S9" s="12" t="s">
        <x:v>34</x:v>
      </x:c>
      <x:c r="T9" s="13" t="s">
        <x:v>35</x:v>
      </x:c>
      <x:c r="U9" s="13" t="s">
        <x:v>36</x:v>
      </x:c>
      <x:c r="V9" s="13" t="s">
        <x:v>37</x:v>
      </x:c>
      <x:c r="W9" s="13" t="s">
        <x:v>38</x:v>
      </x:c>
      <x:c r="X9" s="12" t="s">
        <x:v>34</x:v>
      </x:c>
      <x:c r="Y9" s="13" t="s">
        <x:v>35</x:v>
      </x:c>
      <x:c r="Z9" s="13" t="s">
        <x:v>36</x:v>
      </x:c>
      <x:c r="AA9" s="13" t="s">
        <x:v>37</x:v>
      </x:c>
      <x:c r="AB9" s="13" t="s">
        <x:v>38</x:v>
      </x:c>
      <x:c r="AC9" s="14" t="s">
        <x:v>34</x:v>
      </x:c>
      <x:c r="AD9" s="15" t="s">
        <x:v>35</x:v>
      </x:c>
      <x:c r="AE9" s="15" t="s">
        <x:v>36</x:v>
      </x:c>
      <x:c r="AF9" s="15" t="s">
        <x:v>37</x:v>
      </x:c>
      <x:c r="AG9" s="15" t="s">
        <x:v>38</x:v>
      </x:c>
      <x:c r="AH9" s="14" t="s">
        <x:v>34</x:v>
      </x:c>
      <x:c r="AI9" s="15" t="s">
        <x:v>35</x:v>
      </x:c>
      <x:c r="AJ9" s="15" t="s">
        <x:v>36</x:v>
      </x:c>
      <x:c r="AK9" s="15" t="s">
        <x:v>37</x:v>
      </x:c>
      <x:c r="AL9" s="15" t="s">
        <x:v>38</x:v>
      </x:c>
      <x:c r="AM9" s="14" t="s">
        <x:v>34</x:v>
      </x:c>
      <x:c r="AN9" s="15" t="s">
        <x:v>35</x:v>
      </x:c>
      <x:c r="AO9" s="15" t="s">
        <x:v>36</x:v>
      </x:c>
      <x:c r="AP9" s="15" t="s">
        <x:v>37</x:v>
      </x:c>
      <x:c r="AQ9" s="15" t="s">
        <x:v>38</x:v>
      </x:c>
      <x:c r="AR9" s="14" t="s">
        <x:v>34</x:v>
      </x:c>
      <x:c r="AS9" s="15" t="s">
        <x:v>35</x:v>
      </x:c>
      <x:c r="AT9" s="15" t="s">
        <x:v>36</x:v>
      </x:c>
      <x:c r="AU9" s="15" t="s">
        <x:v>37</x:v>
      </x:c>
      <x:c r="AV9" s="15" t="s">
        <x:v>38</x:v>
      </x:c>
      <x:c r="AW9" s="30" t="s">
        <x:v>34</x:v>
      </x:c>
      <x:c r="AX9" s="31" t="s">
        <x:v>35</x:v>
      </x:c>
      <x:c r="AY9" s="31" t="s">
        <x:v>36</x:v>
      </x:c>
      <x:c r="AZ9" s="31" t="s">
        <x:v>37</x:v>
      </x:c>
      <x:c r="BA9" s="31" t="s">
        <x:v>38</x:v>
      </x:c>
      <x:c r="BB9" s="30" t="s">
        <x:v>34</x:v>
      </x:c>
      <x:c r="BC9" s="31" t="s">
        <x:v>35</x:v>
      </x:c>
      <x:c r="BD9" s="31" t="s">
        <x:v>36</x:v>
      </x:c>
      <x:c r="BE9" s="31" t="s">
        <x:v>37</x:v>
      </x:c>
      <x:c r="BF9" s="31" t="s">
        <x:v>38</x:v>
      </x:c>
      <x:c r="BG9" s="30" t="s">
        <x:v>34</x:v>
      </x:c>
      <x:c r="BH9" s="31" t="s">
        <x:v>35</x:v>
      </x:c>
      <x:c r="BI9" s="31" t="s">
        <x:v>36</x:v>
      </x:c>
      <x:c r="BJ9" s="31" t="s">
        <x:v>37</x:v>
      </x:c>
      <x:c r="BK9" s="31" t="s">
        <x:v>38</x:v>
      </x:c>
      <x:c r="BL9" s="30" t="s">
        <x:v>34</x:v>
      </x:c>
      <x:c r="BM9" s="31" t="s">
        <x:v>35</x:v>
      </x:c>
      <x:c r="BN9" s="31" t="s">
        <x:v>36</x:v>
      </x:c>
      <x:c r="BO9" s="31" t="s">
        <x:v>37</x:v>
      </x:c>
      <x:c r="BP9" s="31" t="s">
        <x:v>38</x:v>
      </x:c>
      <x:c r="BQ9" s="16" t="s">
        <x:v>34</x:v>
      </x:c>
      <x:c r="BR9" s="17" t="s">
        <x:v>35</x:v>
      </x:c>
      <x:c r="BS9" s="17" t="s">
        <x:v>36</x:v>
      </x:c>
      <x:c r="BT9" s="17" t="s">
        <x:v>37</x:v>
      </x:c>
      <x:c r="BU9" s="17" t="s">
        <x:v>38</x:v>
      </x:c>
      <x:c r="BV9" s="16" t="s">
        <x:v>34</x:v>
      </x:c>
      <x:c r="BW9" s="17" t="s">
        <x:v>35</x:v>
      </x:c>
      <x:c r="BX9" s="17" t="s">
        <x:v>36</x:v>
      </x:c>
      <x:c r="BY9" s="17" t="s">
        <x:v>37</x:v>
      </x:c>
      <x:c r="BZ9" s="17" t="s">
        <x:v>38</x:v>
      </x:c>
      <x:c r="CA9" s="16" t="s">
        <x:v>34</x:v>
      </x:c>
      <x:c r="CB9" s="17" t="s">
        <x:v>35</x:v>
      </x:c>
      <x:c r="CC9" s="17" t="s">
        <x:v>36</x:v>
      </x:c>
      <x:c r="CD9" s="17" t="s">
        <x:v>37</x:v>
      </x:c>
      <x:c r="CE9" s="17" t="s">
        <x:v>38</x:v>
      </x:c>
      <x:c r="CF9" s="16" t="s">
        <x:v>34</x:v>
      </x:c>
      <x:c r="CG9" s="17" t="s">
        <x:v>35</x:v>
      </x:c>
      <x:c r="CH9" s="17" t="s">
        <x:v>36</x:v>
      </x:c>
      <x:c r="CI9" s="17" t="s">
        <x:v>37</x:v>
      </x:c>
      <x:c r="CJ9" s="17" t="s">
        <x:v>38</x:v>
      </x:c>
      <x:c r="CK9" s="81" t="s">
        <x:v>34</x:v>
      </x:c>
      <x:c r="CL9" s="82" t="s">
        <x:v>35</x:v>
      </x:c>
      <x:c r="CM9" s="82" t="s">
        <x:v>36</x:v>
      </x:c>
      <x:c r="CN9" s="82" t="s">
        <x:v>37</x:v>
      </x:c>
      <x:c r="CO9" s="82" t="s">
        <x:v>38</x:v>
      </x:c>
      <x:c r="CP9" s="81"/>
    </x:row>
    <x:row r="10" ht="20" customHeight="1">
      <x:c r="B10" s="37" t="str">
        <x:v>1</x:v>
      </x:c>
      <x:c r="C10" s="340" t="str">
        <x:v>FASE 1 — DEFINICIÓN Y DISCOVERY</x:v>
      </x:c>
      <x:c r="D10" s="346" t="str">
        <x:v>Equipo CAPSTONE</x:v>
      </x:c>
      <x:c r="E10" s="226" t="n">
        <x:v>46244</x:v>
      </x:c>
      <x:c r="F10" s="227" t="n">
        <x:v>46262</x:v>
      </x:c>
      <x:c r="G10" s="40" t="n">
        <x:f>IF(OR(E10="",F10=""),"",NETWORKDAYS(E10,F10))</x:f>
        <x:v>15</x:v>
      </x:c>
      <x:c r="H10" s="242" t="n">
        <x:v>1</x:v>
      </x:c>
      <x:c r="I10" s="306" t="n">
        <x:f>IF(AND(I$7&gt;=$E10,I$7&lt;=$F10),1,"")</x:f>
        <x:v>1</x:v>
      </x:c>
      <x:c r="J10" s="307" t="n">
        <x:f>IF(AND(J$7&gt;=$E10,J$7&lt;=$F10),1,"")</x:f>
        <x:v>1</x:v>
      </x:c>
      <x:c r="K10" s="307" t="n">
        <x:f>IF(AND(K$7&gt;=$E10,K$7&lt;=$F10),1,"")</x:f>
        <x:v>1</x:v>
      </x:c>
      <x:c r="L10" s="307" t="n">
        <x:f>IF(AND(L$7&gt;=$E10,L$7&lt;=$F10),1,"")</x:f>
        <x:v>1</x:v>
      </x:c>
      <x:c r="M10" s="307" t="n">
        <x:f>IF(AND(M$7&gt;=$E10,M$7&lt;=$F10),1,"")</x:f>
        <x:v>1</x:v>
      </x:c>
      <x:c r="N10" s="307" t="n">
        <x:f>IF(AND(N$7&gt;=$E10,N$7&lt;=$F10),1,"")</x:f>
        <x:v>1</x:v>
      </x:c>
      <x:c r="O10" s="307" t="n">
        <x:f>IF(AND(O$7&gt;=$E10,O$7&lt;=$F10),1,"")</x:f>
        <x:v>1</x:v>
      </x:c>
      <x:c r="P10" s="307" t="n">
        <x:f>IF(AND(P$7&gt;=$E10,P$7&lt;=$F10),1,"")</x:f>
        <x:v>1</x:v>
      </x:c>
      <x:c r="Q10" s="307" t="n">
        <x:f>IF(AND(Q$7&gt;=$E10,Q$7&lt;=$F10),1,"")</x:f>
        <x:v>1</x:v>
      </x:c>
      <x:c r="R10" s="307" t="n">
        <x:f>IF(AND(R$7&gt;=$E10,R$7&lt;=$F10),1,"")</x:f>
        <x:v>1</x:v>
      </x:c>
      <x:c r="S10" s="307" t="n">
        <x:f>IF(AND(S$7&gt;=$E10,S$7&lt;=$F10),1,"")</x:f>
        <x:v>1</x:v>
      </x:c>
      <x:c r="T10" s="307" t="n">
        <x:f>IF(AND(T$7&gt;=$E10,T$7&lt;=$F10),1,"")</x:f>
        <x:v>1</x:v>
      </x:c>
      <x:c r="U10" s="307" t="n">
        <x:f>IF(AND(U$7&gt;=$E10,U$7&lt;=$F10),1,"")</x:f>
        <x:v>1</x:v>
      </x:c>
      <x:c r="V10" s="307" t="n">
        <x:f>IF(AND(V$7&gt;=$E10,V$7&lt;=$F10),1,"")</x:f>
        <x:v>1</x:v>
      </x:c>
      <x:c r="W10" s="307" t="n">
        <x:f>IF(AND(W$7&gt;=$E10,W$7&lt;=$F10),1,"")</x:f>
        <x:v>1</x:v>
      </x:c>
      <x:c r="X10" s="307" t="str">
        <x:f>IF(AND(X$7&gt;=$E10,X$7&lt;=$F10),1,"")</x:f>
      </x:c>
      <x:c r="Y10" s="307" t="str">
        <x:f>IF(AND(Y$7&gt;=$E10,Y$7&lt;=$F10),1,"")</x:f>
      </x:c>
      <x:c r="Z10" s="307" t="str">
        <x:f>IF(AND(Z$7&gt;=$E10,Z$7&lt;=$F10),1,"")</x:f>
      </x:c>
      <x:c r="AA10" s="307" t="str">
        <x:f>IF(AND(AA$7&gt;=$E10,AA$7&lt;=$F10),1,"")</x:f>
      </x:c>
      <x:c r="AB10" s="307" t="str">
        <x:f>IF(AND(AB$7&gt;=$E10,AB$7&lt;=$F10),1,"")</x:f>
      </x:c>
      <x:c r="AC10" s="308" t="str">
        <x:f>IF(AND(AC$7&gt;=$E10,AC$7&lt;=$F10),1,"")</x:f>
      </x:c>
      <x:c r="AD10" s="307" t="str">
        <x:f>IF(AND(AD$7&gt;=$E10,AD$7&lt;=$F10),1,"")</x:f>
      </x:c>
      <x:c r="AE10" s="307" t="str">
        <x:f>IF(AND(AE$7&gt;=$E10,AE$7&lt;=$F10),1,"")</x:f>
      </x:c>
      <x:c r="AF10" s="307" t="str">
        <x:f>IF(AND(AF$7&gt;=$E10,AF$7&lt;=$F10),1,"")</x:f>
      </x:c>
      <x:c r="AG10" s="307" t="str">
        <x:f>IF(AND(AG$7&gt;=$E10,AG$7&lt;=$F10),1,"")</x:f>
      </x:c>
      <x:c r="AH10" s="307" t="str">
        <x:f>IF(AND(AH$7&gt;=$E10,AH$7&lt;=$F10),1,"")</x:f>
      </x:c>
      <x:c r="AI10" s="307" t="str">
        <x:f>IF(AND(AI$7&gt;=$E10,AI$7&lt;=$F10),1,"")</x:f>
      </x:c>
      <x:c r="AJ10" s="307" t="str">
        <x:f>IF(AND(AJ$7&gt;=$E10,AJ$7&lt;=$F10),1,"")</x:f>
      </x:c>
      <x:c r="AK10" s="307" t="str">
        <x:f>IF(AND(AK$7&gt;=$E10,AK$7&lt;=$F10),1,"")</x:f>
      </x:c>
      <x:c r="AL10" s="307" t="str">
        <x:f>IF(AND(AL$7&gt;=$E10,AL$7&lt;=$F10),1,"")</x:f>
      </x:c>
      <x:c r="AM10" s="307" t="str">
        <x:f>IF(AND(AM$7&gt;=$E10,AM$7&lt;=$F10),1,"")</x:f>
      </x:c>
      <x:c r="AN10" s="307" t="str">
        <x:f>IF(AND(AN$7&gt;=$E10,AN$7&lt;=$F10),1,"")</x:f>
      </x:c>
      <x:c r="AO10" s="307" t="str">
        <x:f>IF(AND(AO$7&gt;=$E10,AO$7&lt;=$F10),1,"")</x:f>
      </x:c>
      <x:c r="AP10" s="307" t="str">
        <x:f>IF(AND(AP$7&gt;=$E10,AP$7&lt;=$F10),1,"")</x:f>
      </x:c>
      <x:c r="AQ10" s="307" t="str">
        <x:f>IF(AND(AQ$7&gt;=$E10,AQ$7&lt;=$F10),1,"")</x:f>
      </x:c>
      <x:c r="AR10" s="307" t="str">
        <x:f>IF(AND(AR$7&gt;=$E10,AR$7&lt;=$F10),1,"")</x:f>
      </x:c>
      <x:c r="AS10" s="307" t="str">
        <x:f>IF(AND(AS$7&gt;=$E10,AS$7&lt;=$F10),1,"")</x:f>
      </x:c>
      <x:c r="AT10" s="307" t="str">
        <x:f>IF(AND(AT$7&gt;=$E10,AT$7&lt;=$F10),1,"")</x:f>
      </x:c>
      <x:c r="AU10" s="307" t="str">
        <x:f>IF(AND(AU$7&gt;=$E10,AU$7&lt;=$F10),1,"")</x:f>
      </x:c>
      <x:c r="AV10" s="307" t="str">
        <x:f>IF(AND(AV$7&gt;=$E10,AV$7&lt;=$F10),1,"")</x:f>
      </x:c>
      <x:c r="AW10" s="308" t="str">
        <x:f>IF(AND(AW$7&gt;=$E10,AW$7&lt;=$F10),1,"")</x:f>
      </x:c>
      <x:c r="AX10" s="307" t="str">
        <x:f>IF(AND(AX$7&gt;=$E10,AX$7&lt;=$F10),1,"")</x:f>
      </x:c>
      <x:c r="AY10" s="307" t="str">
        <x:f>IF(AND(AY$7&gt;=$E10,AY$7&lt;=$F10),1,"")</x:f>
      </x:c>
      <x:c r="AZ10" s="307" t="str">
        <x:f>IF(AND(AZ$7&gt;=$E10,AZ$7&lt;=$F10),1,"")</x:f>
      </x:c>
      <x:c r="BA10" s="307" t="str">
        <x:f>IF(AND(BA$7&gt;=$E10,BA$7&lt;=$F10),1,"")</x:f>
      </x:c>
      <x:c r="BB10" s="307" t="str">
        <x:f>IF(AND(BB$7&gt;=$E10,BB$7&lt;=$F10),1,"")</x:f>
      </x:c>
      <x:c r="BC10" s="307" t="str">
        <x:f>IF(AND(BC$7&gt;=$E10,BC$7&lt;=$F10),1,"")</x:f>
      </x:c>
      <x:c r="BD10" s="307" t="str">
        <x:f>IF(AND(BD$7&gt;=$E10,BD$7&lt;=$F10),1,"")</x:f>
      </x:c>
      <x:c r="BE10" s="307" t="str">
        <x:f>IF(AND(BE$7&gt;=$E10,BE$7&lt;=$F10),1,"")</x:f>
      </x:c>
      <x:c r="BF10" s="307" t="str">
        <x:f>IF(AND(BF$7&gt;=$E10,BF$7&lt;=$F10),1,"")</x:f>
      </x:c>
      <x:c r="BG10" s="307" t="str">
        <x:f>IF(AND(BG$7&gt;=$E10,BG$7&lt;=$F10),1,"")</x:f>
      </x:c>
      <x:c r="BH10" s="307" t="str">
        <x:f>IF(AND(BH$7&gt;=$E10,BH$7&lt;=$F10),1,"")</x:f>
      </x:c>
      <x:c r="BI10" s="307" t="str">
        <x:f>IF(AND(BI$7&gt;=$E10,BI$7&lt;=$F10),1,"")</x:f>
      </x:c>
      <x:c r="BJ10" s="307" t="str">
        <x:f>IF(AND(BJ$7&gt;=$E10,BJ$7&lt;=$F10),1,"")</x:f>
      </x:c>
      <x:c r="BK10" s="307" t="str">
        <x:f>IF(AND(BK$7&gt;=$E10,BK$7&lt;=$F10),1,"")</x:f>
      </x:c>
      <x:c r="BL10" s="307" t="str">
        <x:f>IF(AND(BL$7&gt;=$E10,BL$7&lt;=$F10),1,"")</x:f>
      </x:c>
      <x:c r="BM10" s="307" t="str">
        <x:f>IF(AND(BM$7&gt;=$E10,BM$7&lt;=$F10),1,"")</x:f>
      </x:c>
      <x:c r="BN10" s="307" t="str">
        <x:f>IF(AND(BN$7&gt;=$E10,BN$7&lt;=$F10),1,"")</x:f>
      </x:c>
      <x:c r="BO10" s="307" t="str">
        <x:f>IF(AND(BO$7&gt;=$E10,BO$7&lt;=$F10),1,"")</x:f>
      </x:c>
      <x:c r="BP10" s="307" t="str">
        <x:f>IF(AND(BP$7&gt;=$E10,BP$7&lt;=$F10),1,"")</x:f>
      </x:c>
      <x:c r="BQ10" s="308" t="str">
        <x:f>IF(AND(BQ$7&gt;=$E10,BQ$7&lt;=$F10),1,"")</x:f>
      </x:c>
      <x:c r="BR10" s="307" t="str">
        <x:f>IF(AND(BR$7&gt;=$E10,BR$7&lt;=$F10),1,"")</x:f>
      </x:c>
      <x:c r="BS10" s="307" t="str">
        <x:f>IF(AND(BS$7&gt;=$E10,BS$7&lt;=$F10),1,"")</x:f>
      </x:c>
      <x:c r="BT10" s="307" t="str">
        <x:f>IF(AND(BT$7&gt;=$E10,BT$7&lt;=$F10),1,"")</x:f>
      </x:c>
      <x:c r="BU10" s="307" t="str">
        <x:f>IF(AND(BU$7&gt;=$E10,BU$7&lt;=$F10),1,"")</x:f>
      </x:c>
      <x:c r="BV10" s="307" t="str">
        <x:f>IF(AND(BV$7&gt;=$E10,BV$7&lt;=$F10),1,"")</x:f>
      </x:c>
      <x:c r="BW10" s="307" t="str">
        <x:f>IF(AND(BW$7&gt;=$E10,BW$7&lt;=$F10),1,"")</x:f>
      </x:c>
      <x:c r="BX10" s="307" t="str">
        <x:f>IF(AND(BX$7&gt;=$E10,BX$7&lt;=$F10),1,"")</x:f>
      </x:c>
      <x:c r="BY10" s="307" t="str">
        <x:f>IF(AND(BY$7&gt;=$E10,BY$7&lt;=$F10),1,"")</x:f>
      </x:c>
      <x:c r="BZ10" s="307" t="str">
        <x:f>IF(AND(BZ$7&gt;=$E10,BZ$7&lt;=$F10),1,"")</x:f>
      </x:c>
      <x:c r="CA10" s="307" t="str">
        <x:f>IF(AND(CA$7&gt;=$E10,CA$7&lt;=$F10),1,"")</x:f>
      </x:c>
      <x:c r="CB10" s="307" t="str">
        <x:f>IF(AND(CB$7&gt;=$E10,CB$7&lt;=$F10),1,"")</x:f>
      </x:c>
      <x:c r="CC10" s="307" t="str">
        <x:f>IF(AND(CC$7&gt;=$E10,CC$7&lt;=$F10),1,"")</x:f>
      </x:c>
      <x:c r="CD10" s="307" t="str">
        <x:f>IF(AND(CD$7&gt;=$E10,CD$7&lt;=$F10),1,"")</x:f>
      </x:c>
      <x:c r="CE10" s="307" t="str">
        <x:f>IF(AND(CE$7&gt;=$E10,CE$7&lt;=$F10),1,"")</x:f>
      </x:c>
      <x:c r="CF10" s="307" t="str">
        <x:f>IF(AND(CF$7&gt;=$E10,CF$7&lt;=$F10),1,"")</x:f>
      </x:c>
      <x:c r="CG10" s="307" t="str">
        <x:f>IF(AND(CG$7&gt;=$E10,CG$7&lt;=$F10),1,"")</x:f>
      </x:c>
      <x:c r="CH10" s="307" t="str">
        <x:f>IF(AND(CH$7&gt;=$E10,CH$7&lt;=$F10),1,"")</x:f>
      </x:c>
      <x:c r="CI10" s="307" t="str">
        <x:f>IF(AND(CI$7&gt;=$E10,CI$7&lt;=$F10),1,"")</x:f>
      </x:c>
      <x:c r="CJ10" s="307" t="str">
        <x:f>IF(AND(CJ$7&gt;=$E10,CJ$7&lt;=$F10),1,"")</x:f>
      </x:c>
      <x:c r="CK10" s="308" t="str">
        <x:f>IF(AND(CK$7&gt;=$E10,CK$7&lt;=$F10),1,"")</x:f>
      </x:c>
      <x:c r="CL10" s="307" t="str">
        <x:f>IF(AND(CL$7&gt;=$E10,CL$7&lt;=$F10),1,"")</x:f>
      </x:c>
      <x:c r="CM10" s="307" t="str">
        <x:f>IF(AND(CM$7&gt;=$E10,CM$7&lt;=$F10),1,"")</x:f>
      </x:c>
      <x:c r="CN10" s="307" t="str">
        <x:f>IF(AND(CN$7&gt;=$E10,CN$7&lt;=$F10),1,"")</x:f>
      </x:c>
      <x:c r="CO10" s="307" t="str">
        <x:f>IF(AND(CO$7&gt;=$E10,CO$7&lt;=$F10),1,"")</x:f>
      </x:c>
      <x:c r="CP10" s="18"/>
    </x:row>
    <x:row r="11" ht="20" customHeight="1">
      <x:c r="B11" s="41" t="str">
        <x:v>1.1</x:v>
      </x:c>
      <x:c r="C11" s="341" t="str">
        <x:v>Definir objetivo, problema y actores</x:v>
      </x:c>
      <x:c r="D11" s="347" t="str">
        <x:v>Equipo CAPSTONE</x:v>
      </x:c>
      <x:c r="E11" s="228" t="n">
        <x:v>46244</x:v>
      </x:c>
      <x:c r="F11" s="229" t="n">
        <x:v>46246</x:v>
      </x:c>
      <x:c r="G11" s="75" t="n">
        <x:f t="shared" ref="G11:G34" si="0">IF(OR(E11="",F11=""),"",NETWORKDAYS(E11,F11))</x:f>
        <x:v>3</x:v>
      </x:c>
      <x:c r="H11" s="243" t="n">
        <x:v>1</x:v>
      </x:c>
      <x:c r="I11" s="309" t="n">
        <x:f>IF(AND(I$7&gt;=$E11,I$7&lt;=$F11),1,"")</x:f>
        <x:v>1</x:v>
      </x:c>
      <x:c r="J11" s="310" t="n">
        <x:f>IF(AND(J$7&gt;=$E11,J$7&lt;=$F11),1,"")</x:f>
        <x:v>1</x:v>
      </x:c>
      <x:c r="K11" s="310" t="n">
        <x:f>IF(AND(K$7&gt;=$E11,K$7&lt;=$F11),1,"")</x:f>
        <x:v>1</x:v>
      </x:c>
      <x:c r="L11" s="310" t="str">
        <x:f>IF(AND(L$7&gt;=$E11,L$7&lt;=$F11),1,"")</x:f>
      </x:c>
      <x:c r="M11" s="310" t="str">
        <x:f>IF(AND(M$7&gt;=$E11,M$7&lt;=$F11),1,"")</x:f>
      </x:c>
      <x:c r="N11" s="311" t="str">
        <x:f>IF(AND(N$7&gt;=$E11,N$7&lt;=$F11),1,"")</x:f>
      </x:c>
      <x:c r="O11" s="311" t="str">
        <x:f>IF(AND(O$7&gt;=$E11,O$7&lt;=$F11),1,"")</x:f>
      </x:c>
      <x:c r="P11" s="311" t="str">
        <x:f>IF(AND(P$7&gt;=$E11,P$7&lt;=$F11),1,"")</x:f>
      </x:c>
      <x:c r="Q11" s="311" t="str">
        <x:f>IF(AND(Q$7&gt;=$E11,Q$7&lt;=$F11),1,"")</x:f>
      </x:c>
      <x:c r="R11" s="311" t="str">
        <x:f>IF(AND(R$7&gt;=$E11,R$7&lt;=$F11),1,"")</x:f>
      </x:c>
      <x:c r="S11" s="310" t="str">
        <x:f>IF(AND(S$7&gt;=$E11,S$7&lt;=$F11),1,"")</x:f>
      </x:c>
      <x:c r="T11" s="310" t="str">
        <x:f>IF(AND(T$7&gt;=$E11,T$7&lt;=$F11),1,"")</x:f>
      </x:c>
      <x:c r="U11" s="310" t="str">
        <x:f>IF(AND(U$7&gt;=$E11,U$7&lt;=$F11),1,"")</x:f>
      </x:c>
      <x:c r="V11" s="310" t="str">
        <x:f>IF(AND(V$7&gt;=$E11,V$7&lt;=$F11),1,"")</x:f>
      </x:c>
      <x:c r="W11" s="310" t="str">
        <x:f>IF(AND(W$7&gt;=$E11,W$7&lt;=$F11),1,"")</x:f>
      </x:c>
      <x:c r="X11" s="311" t="str">
        <x:f>IF(AND(X$7&gt;=$E11,X$7&lt;=$F11),1,"")</x:f>
      </x:c>
      <x:c r="Y11" s="311" t="str">
        <x:f>IF(AND(Y$7&gt;=$E11,Y$7&lt;=$F11),1,"")</x:f>
      </x:c>
      <x:c r="Z11" s="311" t="str">
        <x:f>IF(AND(Z$7&gt;=$E11,Z$7&lt;=$F11),1,"")</x:f>
      </x:c>
      <x:c r="AA11" s="311" t="str">
        <x:f>IF(AND(AA$7&gt;=$E11,AA$7&lt;=$F11),1,"")</x:f>
      </x:c>
      <x:c r="AB11" s="311" t="str">
        <x:f>IF(AND(AB$7&gt;=$E11,AB$7&lt;=$F11),1,"")</x:f>
      </x:c>
      <x:c r="AC11" s="312" t="str">
        <x:f>IF(AND(AC$7&gt;=$E11,AC$7&lt;=$F11),1,"")</x:f>
      </x:c>
      <x:c r="AD11" s="310" t="str">
        <x:f>IF(AND(AD$7&gt;=$E11,AD$7&lt;=$F11),1,"")</x:f>
      </x:c>
      <x:c r="AE11" s="310" t="str">
        <x:f>IF(AND(AE$7&gt;=$E11,AE$7&lt;=$F11),1,"")</x:f>
      </x:c>
      <x:c r="AF11" s="310" t="str">
        <x:f>IF(AND(AF$7&gt;=$E11,AF$7&lt;=$F11),1,"")</x:f>
      </x:c>
      <x:c r="AG11" s="310" t="str">
        <x:f>IF(AND(AG$7&gt;=$E11,AG$7&lt;=$F11),1,"")</x:f>
      </x:c>
      <x:c r="AH11" s="313" t="str">
        <x:f>IF(AND(AH$7&gt;=$E11,AH$7&lt;=$F11),1,"")</x:f>
      </x:c>
      <x:c r="AI11" s="313" t="str">
        <x:f>IF(AND(AI$7&gt;=$E11,AI$7&lt;=$F11),1,"")</x:f>
      </x:c>
      <x:c r="AJ11" s="313" t="str">
        <x:f>IF(AND(AJ$7&gt;=$E11,AJ$7&lt;=$F11),1,"")</x:f>
      </x:c>
      <x:c r="AK11" s="313" t="str">
        <x:f>IF(AND(AK$7&gt;=$E11,AK$7&lt;=$F11),1,"")</x:f>
      </x:c>
      <x:c r="AL11" s="313" t="str">
        <x:f>IF(AND(AL$7&gt;=$E11,AL$7&lt;=$F11),1,"")</x:f>
      </x:c>
      <x:c r="AM11" s="310" t="str">
        <x:f>IF(AND(AM$7&gt;=$E11,AM$7&lt;=$F11),1,"")</x:f>
      </x:c>
      <x:c r="AN11" s="310" t="str">
        <x:f>IF(AND(AN$7&gt;=$E11,AN$7&lt;=$F11),1,"")</x:f>
      </x:c>
      <x:c r="AO11" s="310" t="str">
        <x:f>IF(AND(AO$7&gt;=$E11,AO$7&lt;=$F11),1,"")</x:f>
      </x:c>
      <x:c r="AP11" s="310" t="str">
        <x:f>IF(AND(AP$7&gt;=$E11,AP$7&lt;=$F11),1,"")</x:f>
      </x:c>
      <x:c r="AQ11" s="310" t="str">
        <x:f>IF(AND(AQ$7&gt;=$E11,AQ$7&lt;=$F11),1,"")</x:f>
      </x:c>
      <x:c r="AR11" s="313" t="str">
        <x:f>IF(AND(AR$7&gt;=$E11,AR$7&lt;=$F11),1,"")</x:f>
      </x:c>
      <x:c r="AS11" s="313" t="str">
        <x:f>IF(AND(AS$7&gt;=$E11,AS$7&lt;=$F11),1,"")</x:f>
      </x:c>
      <x:c r="AT11" s="313" t="str">
        <x:f>IF(AND(AT$7&gt;=$E11,AT$7&lt;=$F11),1,"")</x:f>
      </x:c>
      <x:c r="AU11" s="313" t="str">
        <x:f>IF(AND(AU$7&gt;=$E11,AU$7&lt;=$F11),1,"")</x:f>
      </x:c>
      <x:c r="AV11" s="313" t="str">
        <x:f>IF(AND(AV$7&gt;=$E11,AV$7&lt;=$F11),1,"")</x:f>
      </x:c>
      <x:c r="AW11" s="312" t="str">
        <x:f>IF(AND(AW$7&gt;=$E11,AW$7&lt;=$F11),1,"")</x:f>
      </x:c>
      <x:c r="AX11" s="310" t="str">
        <x:f>IF(AND(AX$7&gt;=$E11,AX$7&lt;=$F11),1,"")</x:f>
      </x:c>
      <x:c r="AY11" s="310" t="str">
        <x:f>IF(AND(AY$7&gt;=$E11,AY$7&lt;=$F11),1,"")</x:f>
      </x:c>
      <x:c r="AZ11" s="310" t="str">
        <x:f>IF(AND(AZ$7&gt;=$E11,AZ$7&lt;=$F11),1,"")</x:f>
      </x:c>
      <x:c r="BA11" s="310" t="str">
        <x:f>IF(AND(BA$7&gt;=$E11,BA$7&lt;=$F11),1,"")</x:f>
      </x:c>
      <x:c r="BB11" s="314" t="str">
        <x:f>IF(AND(BB$7&gt;=$E11,BB$7&lt;=$F11),1,"")</x:f>
      </x:c>
      <x:c r="BC11" s="314" t="str">
        <x:f>IF(AND(BC$7&gt;=$E11,BC$7&lt;=$F11),1,"")</x:f>
      </x:c>
      <x:c r="BD11" s="314" t="str">
        <x:f>IF(AND(BD$7&gt;=$E11,BD$7&lt;=$F11),1,"")</x:f>
      </x:c>
      <x:c r="BE11" s="314" t="str">
        <x:f>IF(AND(BE$7&gt;=$E11,BE$7&lt;=$F11),1,"")</x:f>
      </x:c>
      <x:c r="BF11" s="314" t="str">
        <x:f>IF(AND(BF$7&gt;=$E11,BF$7&lt;=$F11),1,"")</x:f>
      </x:c>
      <x:c r="BG11" s="310" t="str">
        <x:f>IF(AND(BG$7&gt;=$E11,BG$7&lt;=$F11),1,"")</x:f>
      </x:c>
      <x:c r="BH11" s="310" t="str">
        <x:f>IF(AND(BH$7&gt;=$E11,BH$7&lt;=$F11),1,"")</x:f>
      </x:c>
      <x:c r="BI11" s="310" t="str">
        <x:f>IF(AND(BI$7&gt;=$E11,BI$7&lt;=$F11),1,"")</x:f>
      </x:c>
      <x:c r="BJ11" s="310" t="str">
        <x:f>IF(AND(BJ$7&gt;=$E11,BJ$7&lt;=$F11),1,"")</x:f>
      </x:c>
      <x:c r="BK11" s="310" t="str">
        <x:f>IF(AND(BK$7&gt;=$E11,BK$7&lt;=$F11),1,"")</x:f>
      </x:c>
      <x:c r="BL11" s="314" t="str">
        <x:f>IF(AND(BL$7&gt;=$E11,BL$7&lt;=$F11),1,"")</x:f>
      </x:c>
      <x:c r="BM11" s="314" t="str">
        <x:f>IF(AND(BM$7&gt;=$E11,BM$7&lt;=$F11),1,"")</x:f>
      </x:c>
      <x:c r="BN11" s="314" t="str">
        <x:f>IF(AND(BN$7&gt;=$E11,BN$7&lt;=$F11),1,"")</x:f>
      </x:c>
      <x:c r="BO11" s="314" t="str">
        <x:f>IF(AND(BO$7&gt;=$E11,BO$7&lt;=$F11),1,"")</x:f>
      </x:c>
      <x:c r="BP11" s="314" t="str">
        <x:f>IF(AND(BP$7&gt;=$E11,BP$7&lt;=$F11),1,"")</x:f>
      </x:c>
      <x:c r="BQ11" s="312" t="str">
        <x:f>IF(AND(BQ$7&gt;=$E11,BQ$7&lt;=$F11),1,"")</x:f>
      </x:c>
      <x:c r="BR11" s="310" t="str">
        <x:f>IF(AND(BR$7&gt;=$E11,BR$7&lt;=$F11),1,"")</x:f>
      </x:c>
      <x:c r="BS11" s="310" t="str">
        <x:f>IF(AND(BS$7&gt;=$E11,BS$7&lt;=$F11),1,"")</x:f>
      </x:c>
      <x:c r="BT11" s="310" t="str">
        <x:f>IF(AND(BT$7&gt;=$E11,BT$7&lt;=$F11),1,"")</x:f>
      </x:c>
      <x:c r="BU11" s="310" t="str">
        <x:f>IF(AND(BU$7&gt;=$E11,BU$7&lt;=$F11),1,"")</x:f>
      </x:c>
      <x:c r="BV11" s="315" t="str">
        <x:f>IF(AND(BV$7&gt;=$E11,BV$7&lt;=$F11),1,"")</x:f>
      </x:c>
      <x:c r="BW11" s="315" t="str">
        <x:f>IF(AND(BW$7&gt;=$E11,BW$7&lt;=$F11),1,"")</x:f>
      </x:c>
      <x:c r="BX11" s="315" t="str">
        <x:f>IF(AND(BX$7&gt;=$E11,BX$7&lt;=$F11),1,"")</x:f>
      </x:c>
      <x:c r="BY11" s="315" t="str">
        <x:f>IF(AND(BY$7&gt;=$E11,BY$7&lt;=$F11),1,"")</x:f>
      </x:c>
      <x:c r="BZ11" s="315" t="str">
        <x:f>IF(AND(BZ$7&gt;=$E11,BZ$7&lt;=$F11),1,"")</x:f>
      </x:c>
      <x:c r="CA11" s="310" t="str">
        <x:f>IF(AND(CA$7&gt;=$E11,CA$7&lt;=$F11),1,"")</x:f>
      </x:c>
      <x:c r="CB11" s="310" t="str">
        <x:f>IF(AND(CB$7&gt;=$E11,CB$7&lt;=$F11),1,"")</x:f>
      </x:c>
      <x:c r="CC11" s="310" t="str">
        <x:f>IF(AND(CC$7&gt;=$E11,CC$7&lt;=$F11),1,"")</x:f>
      </x:c>
      <x:c r="CD11" s="310" t="str">
        <x:f>IF(AND(CD$7&gt;=$E11,CD$7&lt;=$F11),1,"")</x:f>
      </x:c>
      <x:c r="CE11" s="310" t="str">
        <x:f>IF(AND(CE$7&gt;=$E11,CE$7&lt;=$F11),1,"")</x:f>
      </x:c>
      <x:c r="CF11" s="315" t="str">
        <x:f>IF(AND(CF$7&gt;=$E11,CF$7&lt;=$F11),1,"")</x:f>
      </x:c>
      <x:c r="CG11" s="315" t="str">
        <x:f>IF(AND(CG$7&gt;=$E11,CG$7&lt;=$F11),1,"")</x:f>
      </x:c>
      <x:c r="CH11" s="315" t="str">
        <x:f>IF(AND(CH$7&gt;=$E11,CH$7&lt;=$F11),1,"")</x:f>
      </x:c>
      <x:c r="CI11" s="315" t="str">
        <x:f>IF(AND(CI$7&gt;=$E11,CI$7&lt;=$F11),1,"")</x:f>
      </x:c>
      <x:c r="CJ11" s="315" t="str">
        <x:f>IF(AND(CJ$7&gt;=$E11,CJ$7&lt;=$F11),1,"")</x:f>
      </x:c>
      <x:c r="CK11" s="312" t="str">
        <x:f>IF(AND(CK$7&gt;=$E11,CK$7&lt;=$F11),1,"")</x:f>
      </x:c>
      <x:c r="CL11" s="310" t="str">
        <x:f>IF(AND(CL$7&gt;=$E11,CL$7&lt;=$F11),1,"")</x:f>
      </x:c>
      <x:c r="CM11" s="310" t="str">
        <x:f>IF(AND(CM$7&gt;=$E11,CM$7&lt;=$F11),1,"")</x:f>
      </x:c>
      <x:c r="CN11" s="310" t="str">
        <x:f>IF(AND(CN$7&gt;=$E11,CN$7&lt;=$F11),1,"")</x:f>
      </x:c>
      <x:c r="CO11" s="310" t="str">
        <x:f>IF(AND(CO$7&gt;=$E11,CO$7&lt;=$F11),1,"")</x:f>
      </x:c>
      <x:c r="CP11" s="20"/>
    </x:row>
    <x:row r="12" ht="20" customHeight="1">
      <x:c r="B12" s="41" t="str">
        <x:v>1.1.1</x:v>
      </x:c>
      <x:c r="C12" s="341" t="str">
        <x:v>Levantar procesos y ejemplos reales de Soporte</x:v>
      </x:c>
      <x:c r="D12" s="347" t="str">
        <x:v>Equipo CAPSTONE</x:v>
      </x:c>
      <x:c r="E12" s="228" t="n">
        <x:v>46245</x:v>
      </x:c>
      <x:c r="F12" s="229" t="n">
        <x:v>46248</x:v>
      </x:c>
      <x:c r="G12" s="75" t="n">
        <x:f t="shared" si="0">IF(OR(E12="",F12=""),"",NETWORKDAYS(E12,F12))</x:f>
        <x:v>4</x:v>
      </x:c>
      <x:c r="H12" s="243" t="n">
        <x:v>1</x:v>
      </x:c>
      <x:c r="I12" s="309" t="str">
        <x:f>IF(AND(I$7&gt;=$E12,I$7&lt;=$F12),1,"")</x:f>
      </x:c>
      <x:c r="J12" s="310" t="n">
        <x:f>IF(AND(J$7&gt;=$E12,J$7&lt;=$F12),1,"")</x:f>
        <x:v>1</x:v>
      </x:c>
      <x:c r="K12" s="310" t="n">
        <x:f>IF(AND(K$7&gt;=$E12,K$7&lt;=$F12),1,"")</x:f>
        <x:v>1</x:v>
      </x:c>
      <x:c r="L12" s="310" t="n">
        <x:f>IF(AND(L$7&gt;=$E12,L$7&lt;=$F12),1,"")</x:f>
        <x:v>1</x:v>
      </x:c>
      <x:c r="M12" s="310" t="n">
        <x:f>IF(AND(M$7&gt;=$E12,M$7&lt;=$F12),1,"")</x:f>
        <x:v>1</x:v>
      </x:c>
      <x:c r="N12" s="311" t="str">
        <x:f>IF(AND(N$7&gt;=$E12,N$7&lt;=$F12),1,"")</x:f>
      </x:c>
      <x:c r="O12" s="311" t="str">
        <x:f>IF(AND(O$7&gt;=$E12,O$7&lt;=$F12),1,"")</x:f>
      </x:c>
      <x:c r="P12" s="311" t="str">
        <x:f>IF(AND(P$7&gt;=$E12,P$7&lt;=$F12),1,"")</x:f>
      </x:c>
      <x:c r="Q12" s="311" t="str">
        <x:f>IF(AND(Q$7&gt;=$E12,Q$7&lt;=$F12),1,"")</x:f>
      </x:c>
      <x:c r="R12" s="311" t="str">
        <x:f>IF(AND(R$7&gt;=$E12,R$7&lt;=$F12),1,"")</x:f>
      </x:c>
      <x:c r="S12" s="310" t="str">
        <x:f>IF(AND(S$7&gt;=$E12,S$7&lt;=$F12),1,"")</x:f>
      </x:c>
      <x:c r="T12" s="310" t="str">
        <x:f>IF(AND(T$7&gt;=$E12,T$7&lt;=$F12),1,"")</x:f>
      </x:c>
      <x:c r="U12" s="310" t="str">
        <x:f>IF(AND(U$7&gt;=$E12,U$7&lt;=$F12),1,"")</x:f>
      </x:c>
      <x:c r="V12" s="310" t="str">
        <x:f>IF(AND(V$7&gt;=$E12,V$7&lt;=$F12),1,"")</x:f>
      </x:c>
      <x:c r="W12" s="310" t="str">
        <x:f>IF(AND(W$7&gt;=$E12,W$7&lt;=$F12),1,"")</x:f>
      </x:c>
      <x:c r="X12" s="311" t="str">
        <x:f>IF(AND(X$7&gt;=$E12,X$7&lt;=$F12),1,"")</x:f>
      </x:c>
      <x:c r="Y12" s="311" t="str">
        <x:f>IF(AND(Y$7&gt;=$E12,Y$7&lt;=$F12),1,"")</x:f>
      </x:c>
      <x:c r="Z12" s="311" t="str">
        <x:f>IF(AND(Z$7&gt;=$E12,Z$7&lt;=$F12),1,"")</x:f>
      </x:c>
      <x:c r="AA12" s="311" t="str">
        <x:f>IF(AND(AA$7&gt;=$E12,AA$7&lt;=$F12),1,"")</x:f>
      </x:c>
      <x:c r="AB12" s="311" t="str">
        <x:f>IF(AND(AB$7&gt;=$E12,AB$7&lt;=$F12),1,"")</x:f>
      </x:c>
      <x:c r="AC12" s="312" t="str">
        <x:f>IF(AND(AC$7&gt;=$E12,AC$7&lt;=$F12),1,"")</x:f>
      </x:c>
      <x:c r="AD12" s="310" t="str">
        <x:f>IF(AND(AD$7&gt;=$E12,AD$7&lt;=$F12),1,"")</x:f>
      </x:c>
      <x:c r="AE12" s="310" t="str">
        <x:f>IF(AND(AE$7&gt;=$E12,AE$7&lt;=$F12),1,"")</x:f>
      </x:c>
      <x:c r="AF12" s="310" t="str">
        <x:f>IF(AND(AF$7&gt;=$E12,AF$7&lt;=$F12),1,"")</x:f>
      </x:c>
      <x:c r="AG12" s="310" t="str">
        <x:f>IF(AND(AG$7&gt;=$E12,AG$7&lt;=$F12),1,"")</x:f>
      </x:c>
      <x:c r="AH12" s="313" t="str">
        <x:f>IF(AND(AH$7&gt;=$E12,AH$7&lt;=$F12),1,"")</x:f>
      </x:c>
      <x:c r="AI12" s="313" t="str">
        <x:f>IF(AND(AI$7&gt;=$E12,AI$7&lt;=$F12),1,"")</x:f>
      </x:c>
      <x:c r="AJ12" s="313" t="str">
        <x:f>IF(AND(AJ$7&gt;=$E12,AJ$7&lt;=$F12),1,"")</x:f>
      </x:c>
      <x:c r="AK12" s="313" t="str">
        <x:f>IF(AND(AK$7&gt;=$E12,AK$7&lt;=$F12),1,"")</x:f>
      </x:c>
      <x:c r="AL12" s="313" t="str">
        <x:f>IF(AND(AL$7&gt;=$E12,AL$7&lt;=$F12),1,"")</x:f>
      </x:c>
      <x:c r="AM12" s="310" t="str">
        <x:f>IF(AND(AM$7&gt;=$E12,AM$7&lt;=$F12),1,"")</x:f>
      </x:c>
      <x:c r="AN12" s="310" t="str">
        <x:f>IF(AND(AN$7&gt;=$E12,AN$7&lt;=$F12),1,"")</x:f>
      </x:c>
      <x:c r="AO12" s="310" t="str">
        <x:f>IF(AND(AO$7&gt;=$E12,AO$7&lt;=$F12),1,"")</x:f>
      </x:c>
      <x:c r="AP12" s="310" t="str">
        <x:f>IF(AND(AP$7&gt;=$E12,AP$7&lt;=$F12),1,"")</x:f>
      </x:c>
      <x:c r="AQ12" s="310" t="str">
        <x:f>IF(AND(AQ$7&gt;=$E12,AQ$7&lt;=$F12),1,"")</x:f>
      </x:c>
      <x:c r="AR12" s="313" t="str">
        <x:f>IF(AND(AR$7&gt;=$E12,AR$7&lt;=$F12),1,"")</x:f>
      </x:c>
      <x:c r="AS12" s="313" t="str">
        <x:f>IF(AND(AS$7&gt;=$E12,AS$7&lt;=$F12),1,"")</x:f>
      </x:c>
      <x:c r="AT12" s="313" t="str">
        <x:f>IF(AND(AT$7&gt;=$E12,AT$7&lt;=$F12),1,"")</x:f>
      </x:c>
      <x:c r="AU12" s="313" t="str">
        <x:f>IF(AND(AU$7&gt;=$E12,AU$7&lt;=$F12),1,"")</x:f>
      </x:c>
      <x:c r="AV12" s="313" t="str">
        <x:f>IF(AND(AV$7&gt;=$E12,AV$7&lt;=$F12),1,"")</x:f>
      </x:c>
      <x:c r="AW12" s="312" t="str">
        <x:f>IF(AND(AW$7&gt;=$E12,AW$7&lt;=$F12),1,"")</x:f>
      </x:c>
      <x:c r="AX12" s="310" t="str">
        <x:f>IF(AND(AX$7&gt;=$E12,AX$7&lt;=$F12),1,"")</x:f>
      </x:c>
      <x:c r="AY12" s="310" t="str">
        <x:f>IF(AND(AY$7&gt;=$E12,AY$7&lt;=$F12),1,"")</x:f>
      </x:c>
      <x:c r="AZ12" s="310" t="str">
        <x:f>IF(AND(AZ$7&gt;=$E12,AZ$7&lt;=$F12),1,"")</x:f>
      </x:c>
      <x:c r="BA12" s="310" t="str">
        <x:f>IF(AND(BA$7&gt;=$E12,BA$7&lt;=$F12),1,"")</x:f>
      </x:c>
      <x:c r="BB12" s="314" t="str">
        <x:f>IF(AND(BB$7&gt;=$E12,BB$7&lt;=$F12),1,"")</x:f>
      </x:c>
      <x:c r="BC12" s="314" t="str">
        <x:f>IF(AND(BC$7&gt;=$E12,BC$7&lt;=$F12),1,"")</x:f>
      </x:c>
      <x:c r="BD12" s="314" t="str">
        <x:f>IF(AND(BD$7&gt;=$E12,BD$7&lt;=$F12),1,"")</x:f>
      </x:c>
      <x:c r="BE12" s="314" t="str">
        <x:f>IF(AND(BE$7&gt;=$E12,BE$7&lt;=$F12),1,"")</x:f>
      </x:c>
      <x:c r="BF12" s="314" t="str">
        <x:f>IF(AND(BF$7&gt;=$E12,BF$7&lt;=$F12),1,"")</x:f>
      </x:c>
      <x:c r="BG12" s="310" t="str">
        <x:f>IF(AND(BG$7&gt;=$E12,BG$7&lt;=$F12),1,"")</x:f>
      </x:c>
      <x:c r="BH12" s="310" t="str">
        <x:f>IF(AND(BH$7&gt;=$E12,BH$7&lt;=$F12),1,"")</x:f>
      </x:c>
      <x:c r="BI12" s="310" t="str">
        <x:f>IF(AND(BI$7&gt;=$E12,BI$7&lt;=$F12),1,"")</x:f>
      </x:c>
      <x:c r="BJ12" s="310" t="str">
        <x:f>IF(AND(BJ$7&gt;=$E12,BJ$7&lt;=$F12),1,"")</x:f>
      </x:c>
      <x:c r="BK12" s="310" t="str">
        <x:f>IF(AND(BK$7&gt;=$E12,BK$7&lt;=$F12),1,"")</x:f>
      </x:c>
      <x:c r="BL12" s="314" t="str">
        <x:f>IF(AND(BL$7&gt;=$E12,BL$7&lt;=$F12),1,"")</x:f>
      </x:c>
      <x:c r="BM12" s="314" t="str">
        <x:f>IF(AND(BM$7&gt;=$E12,BM$7&lt;=$F12),1,"")</x:f>
      </x:c>
      <x:c r="BN12" s="314" t="str">
        <x:f>IF(AND(BN$7&gt;=$E12,BN$7&lt;=$F12),1,"")</x:f>
      </x:c>
      <x:c r="BO12" s="314" t="str">
        <x:f>IF(AND(BO$7&gt;=$E12,BO$7&lt;=$F12),1,"")</x:f>
      </x:c>
      <x:c r="BP12" s="314" t="str">
        <x:f>IF(AND(BP$7&gt;=$E12,BP$7&lt;=$F12),1,"")</x:f>
      </x:c>
      <x:c r="BQ12" s="312" t="str">
        <x:f>IF(AND(BQ$7&gt;=$E12,BQ$7&lt;=$F12),1,"")</x:f>
      </x:c>
      <x:c r="BR12" s="310" t="str">
        <x:f>IF(AND(BR$7&gt;=$E12,BR$7&lt;=$F12),1,"")</x:f>
      </x:c>
      <x:c r="BS12" s="310" t="str">
        <x:f>IF(AND(BS$7&gt;=$E12,BS$7&lt;=$F12),1,"")</x:f>
      </x:c>
      <x:c r="BT12" s="310" t="str">
        <x:f>IF(AND(BT$7&gt;=$E12,BT$7&lt;=$F12),1,"")</x:f>
      </x:c>
      <x:c r="BU12" s="310" t="str">
        <x:f>IF(AND(BU$7&gt;=$E12,BU$7&lt;=$F12),1,"")</x:f>
      </x:c>
      <x:c r="BV12" s="315" t="str">
        <x:f>IF(AND(BV$7&gt;=$E12,BV$7&lt;=$F12),1,"")</x:f>
      </x:c>
      <x:c r="BW12" s="315" t="str">
        <x:f>IF(AND(BW$7&gt;=$E12,BW$7&lt;=$F12),1,"")</x:f>
      </x:c>
      <x:c r="BX12" s="315" t="str">
        <x:f>IF(AND(BX$7&gt;=$E12,BX$7&lt;=$F12),1,"")</x:f>
      </x:c>
      <x:c r="BY12" s="315" t="str">
        <x:f>IF(AND(BY$7&gt;=$E12,BY$7&lt;=$F12),1,"")</x:f>
      </x:c>
      <x:c r="BZ12" s="315" t="str">
        <x:f>IF(AND(BZ$7&gt;=$E12,BZ$7&lt;=$F12),1,"")</x:f>
      </x:c>
      <x:c r="CA12" s="310" t="str">
        <x:f>IF(AND(CA$7&gt;=$E12,CA$7&lt;=$F12),1,"")</x:f>
      </x:c>
      <x:c r="CB12" s="310" t="str">
        <x:f>IF(AND(CB$7&gt;=$E12,CB$7&lt;=$F12),1,"")</x:f>
      </x:c>
      <x:c r="CC12" s="310" t="str">
        <x:f>IF(AND(CC$7&gt;=$E12,CC$7&lt;=$F12),1,"")</x:f>
      </x:c>
      <x:c r="CD12" s="310" t="str">
        <x:f>IF(AND(CD$7&gt;=$E12,CD$7&lt;=$F12),1,"")</x:f>
      </x:c>
      <x:c r="CE12" s="310" t="str">
        <x:f>IF(AND(CE$7&gt;=$E12,CE$7&lt;=$F12),1,"")</x:f>
      </x:c>
      <x:c r="CF12" s="315" t="str">
        <x:f>IF(AND(CF$7&gt;=$E12,CF$7&lt;=$F12),1,"")</x:f>
      </x:c>
      <x:c r="CG12" s="315" t="str">
        <x:f>IF(AND(CG$7&gt;=$E12,CG$7&lt;=$F12),1,"")</x:f>
      </x:c>
      <x:c r="CH12" s="315" t="str">
        <x:f>IF(AND(CH$7&gt;=$E12,CH$7&lt;=$F12),1,"")</x:f>
      </x:c>
      <x:c r="CI12" s="315" t="str">
        <x:f>IF(AND(CI$7&gt;=$E12,CI$7&lt;=$F12),1,"")</x:f>
      </x:c>
      <x:c r="CJ12" s="315" t="str">
        <x:f>IF(AND(CJ$7&gt;=$E12,CJ$7&lt;=$F12),1,"")</x:f>
      </x:c>
      <x:c r="CK12" s="312" t="str">
        <x:f>IF(AND(CK$7&gt;=$E12,CK$7&lt;=$F12),1,"")</x:f>
      </x:c>
      <x:c r="CL12" s="310" t="str">
        <x:f>IF(AND(CL$7&gt;=$E12,CL$7&lt;=$F12),1,"")</x:f>
      </x:c>
      <x:c r="CM12" s="310" t="str">
        <x:f>IF(AND(CM$7&gt;=$E12,CM$7&lt;=$F12),1,"")</x:f>
      </x:c>
      <x:c r="CN12" s="310" t="str">
        <x:f>IF(AND(CN$7&gt;=$E12,CN$7&lt;=$F12),1,"")</x:f>
      </x:c>
      <x:c r="CO12" s="310" t="str">
        <x:f>IF(AND(CO$7&gt;=$E12,CO$7&lt;=$F12),1,"")</x:f>
      </x:c>
      <x:c r="CP12" s="20"/>
    </x:row>
    <x:row r="13" ht="20" customHeight="1">
      <x:c r="B13" s="41" t="str">
        <x:v>1.2</x:v>
      </x:c>
      <x:c r="C13" s="341" t="str">
        <x:v>Modelar AS-IS y detectar problemas</x:v>
      </x:c>
      <x:c r="D13" s="347" t="str">
        <x:v>Equipo CAPSTONE</x:v>
      </x:c>
      <x:c r="E13" s="228" t="n">
        <x:v>46247</x:v>
      </x:c>
      <x:c r="F13" s="229" t="n">
        <x:v>46252</x:v>
      </x:c>
      <x:c r="G13" s="75" t="n">
        <x:f t="shared" si="0">IF(OR(E13="",F13=""),"",NETWORKDAYS(E13,F13))</x:f>
        <x:v>4</x:v>
      </x:c>
      <x:c r="H13" s="243" t="n">
        <x:v>1</x:v>
      </x:c>
      <x:c r="I13" s="309" t="str">
        <x:f>IF(AND(I$7&gt;=$E13,I$7&lt;=$F13),1,"")</x:f>
      </x:c>
      <x:c r="J13" s="310" t="str">
        <x:f>IF(AND(J$7&gt;=$E13,J$7&lt;=$F13),1,"")</x:f>
      </x:c>
      <x:c r="K13" s="310" t="str">
        <x:f>IF(AND(K$7&gt;=$E13,K$7&lt;=$F13),1,"")</x:f>
      </x:c>
      <x:c r="L13" s="310" t="n">
        <x:f>IF(AND(L$7&gt;=$E13,L$7&lt;=$F13),1,"")</x:f>
        <x:v>1</x:v>
      </x:c>
      <x:c r="M13" s="310" t="n">
        <x:f>IF(AND(M$7&gt;=$E13,M$7&lt;=$F13),1,"")</x:f>
        <x:v>1</x:v>
      </x:c>
      <x:c r="N13" s="311" t="n">
        <x:f>IF(AND(N$7&gt;=$E13,N$7&lt;=$F13),1,"")</x:f>
        <x:v>1</x:v>
      </x:c>
      <x:c r="O13" s="311" t="n">
        <x:f>IF(AND(O$7&gt;=$E13,O$7&lt;=$F13),1,"")</x:f>
        <x:v>1</x:v>
      </x:c>
      <x:c r="P13" s="311" t="str">
        <x:f>IF(AND(P$7&gt;=$E13,P$7&lt;=$F13),1,"")</x:f>
      </x:c>
      <x:c r="Q13" s="311" t="str">
        <x:f>IF(AND(Q$7&gt;=$E13,Q$7&lt;=$F13),1,"")</x:f>
      </x:c>
      <x:c r="R13" s="311" t="str">
        <x:f>IF(AND(R$7&gt;=$E13,R$7&lt;=$F13),1,"")</x:f>
      </x:c>
      <x:c r="S13" s="310" t="str">
        <x:f>IF(AND(S$7&gt;=$E13,S$7&lt;=$F13),1,"")</x:f>
      </x:c>
      <x:c r="T13" s="310" t="str">
        <x:f>IF(AND(T$7&gt;=$E13,T$7&lt;=$F13),1,"")</x:f>
      </x:c>
      <x:c r="U13" s="310" t="str">
        <x:f>IF(AND(U$7&gt;=$E13,U$7&lt;=$F13),1,"")</x:f>
      </x:c>
      <x:c r="V13" s="310" t="str">
        <x:f>IF(AND(V$7&gt;=$E13,V$7&lt;=$F13),1,"")</x:f>
      </x:c>
      <x:c r="W13" s="310" t="str">
        <x:f>IF(AND(W$7&gt;=$E13,W$7&lt;=$F13),1,"")</x:f>
      </x:c>
      <x:c r="X13" s="311" t="str">
        <x:f>IF(AND(X$7&gt;=$E13,X$7&lt;=$F13),1,"")</x:f>
      </x:c>
      <x:c r="Y13" s="311" t="str">
        <x:f>IF(AND(Y$7&gt;=$E13,Y$7&lt;=$F13),1,"")</x:f>
      </x:c>
      <x:c r="Z13" s="311" t="str">
        <x:f>IF(AND(Z$7&gt;=$E13,Z$7&lt;=$F13),1,"")</x:f>
      </x:c>
      <x:c r="AA13" s="311" t="str">
        <x:f>IF(AND(AA$7&gt;=$E13,AA$7&lt;=$F13),1,"")</x:f>
      </x:c>
      <x:c r="AB13" s="311" t="str">
        <x:f>IF(AND(AB$7&gt;=$E13,AB$7&lt;=$F13),1,"")</x:f>
      </x:c>
      <x:c r="AC13" s="312" t="str">
        <x:f>IF(AND(AC$7&gt;=$E13,AC$7&lt;=$F13),1,"")</x:f>
      </x:c>
      <x:c r="AD13" s="310" t="str">
        <x:f>IF(AND(AD$7&gt;=$E13,AD$7&lt;=$F13),1,"")</x:f>
      </x:c>
      <x:c r="AE13" s="310" t="str">
        <x:f>IF(AND(AE$7&gt;=$E13,AE$7&lt;=$F13),1,"")</x:f>
      </x:c>
      <x:c r="AF13" s="310" t="str">
        <x:f>IF(AND(AF$7&gt;=$E13,AF$7&lt;=$F13),1,"")</x:f>
      </x:c>
      <x:c r="AG13" s="310" t="str">
        <x:f>IF(AND(AG$7&gt;=$E13,AG$7&lt;=$F13),1,"")</x:f>
      </x:c>
      <x:c r="AH13" s="313" t="str">
        <x:f>IF(AND(AH$7&gt;=$E13,AH$7&lt;=$F13),1,"")</x:f>
      </x:c>
      <x:c r="AI13" s="313" t="str">
        <x:f>IF(AND(AI$7&gt;=$E13,AI$7&lt;=$F13),1,"")</x:f>
      </x:c>
      <x:c r="AJ13" s="313" t="str">
        <x:f>IF(AND(AJ$7&gt;=$E13,AJ$7&lt;=$F13),1,"")</x:f>
      </x:c>
      <x:c r="AK13" s="313" t="str">
        <x:f>IF(AND(AK$7&gt;=$E13,AK$7&lt;=$F13),1,"")</x:f>
      </x:c>
      <x:c r="AL13" s="313" t="str">
        <x:f>IF(AND(AL$7&gt;=$E13,AL$7&lt;=$F13),1,"")</x:f>
      </x:c>
      <x:c r="AM13" s="310" t="str">
        <x:f>IF(AND(AM$7&gt;=$E13,AM$7&lt;=$F13),1,"")</x:f>
      </x:c>
      <x:c r="AN13" s="310" t="str">
        <x:f>IF(AND(AN$7&gt;=$E13,AN$7&lt;=$F13),1,"")</x:f>
      </x:c>
      <x:c r="AO13" s="310" t="str">
        <x:f>IF(AND(AO$7&gt;=$E13,AO$7&lt;=$F13),1,"")</x:f>
      </x:c>
      <x:c r="AP13" s="310" t="str">
        <x:f>IF(AND(AP$7&gt;=$E13,AP$7&lt;=$F13),1,"")</x:f>
      </x:c>
      <x:c r="AQ13" s="310" t="str">
        <x:f>IF(AND(AQ$7&gt;=$E13,AQ$7&lt;=$F13),1,"")</x:f>
      </x:c>
      <x:c r="AR13" s="313" t="str">
        <x:f>IF(AND(AR$7&gt;=$E13,AR$7&lt;=$F13),1,"")</x:f>
      </x:c>
      <x:c r="AS13" s="313" t="str">
        <x:f>IF(AND(AS$7&gt;=$E13,AS$7&lt;=$F13),1,"")</x:f>
      </x:c>
      <x:c r="AT13" s="313" t="str">
        <x:f>IF(AND(AT$7&gt;=$E13,AT$7&lt;=$F13),1,"")</x:f>
      </x:c>
      <x:c r="AU13" s="313" t="str">
        <x:f>IF(AND(AU$7&gt;=$E13,AU$7&lt;=$F13),1,"")</x:f>
      </x:c>
      <x:c r="AV13" s="313" t="str">
        <x:f>IF(AND(AV$7&gt;=$E13,AV$7&lt;=$F13),1,"")</x:f>
      </x:c>
      <x:c r="AW13" s="312" t="str">
        <x:f>IF(AND(AW$7&gt;=$E13,AW$7&lt;=$F13),1,"")</x:f>
      </x:c>
      <x:c r="AX13" s="310" t="str">
        <x:f>IF(AND(AX$7&gt;=$E13,AX$7&lt;=$F13),1,"")</x:f>
      </x:c>
      <x:c r="AY13" s="310" t="str">
        <x:f>IF(AND(AY$7&gt;=$E13,AY$7&lt;=$F13),1,"")</x:f>
      </x:c>
      <x:c r="AZ13" s="310" t="str">
        <x:f>IF(AND(AZ$7&gt;=$E13,AZ$7&lt;=$F13),1,"")</x:f>
      </x:c>
      <x:c r="BA13" s="310" t="str">
        <x:f>IF(AND(BA$7&gt;=$E13,BA$7&lt;=$F13),1,"")</x:f>
      </x:c>
      <x:c r="BB13" s="314" t="str">
        <x:f>IF(AND(BB$7&gt;=$E13,BB$7&lt;=$F13),1,"")</x:f>
      </x:c>
      <x:c r="BC13" s="314" t="str">
        <x:f>IF(AND(BC$7&gt;=$E13,BC$7&lt;=$F13),1,"")</x:f>
      </x:c>
      <x:c r="BD13" s="314" t="str">
        <x:f>IF(AND(BD$7&gt;=$E13,BD$7&lt;=$F13),1,"")</x:f>
      </x:c>
      <x:c r="BE13" s="314" t="str">
        <x:f>IF(AND(BE$7&gt;=$E13,BE$7&lt;=$F13),1,"")</x:f>
      </x:c>
      <x:c r="BF13" s="314" t="str">
        <x:f>IF(AND(BF$7&gt;=$E13,BF$7&lt;=$F13),1,"")</x:f>
      </x:c>
      <x:c r="BG13" s="310" t="str">
        <x:f>IF(AND(BG$7&gt;=$E13,BG$7&lt;=$F13),1,"")</x:f>
      </x:c>
      <x:c r="BH13" s="310" t="str">
        <x:f>IF(AND(BH$7&gt;=$E13,BH$7&lt;=$F13),1,"")</x:f>
      </x:c>
      <x:c r="BI13" s="310" t="str">
        <x:f>IF(AND(BI$7&gt;=$E13,BI$7&lt;=$F13),1,"")</x:f>
      </x:c>
      <x:c r="BJ13" s="310" t="str">
        <x:f>IF(AND(BJ$7&gt;=$E13,BJ$7&lt;=$F13),1,"")</x:f>
      </x:c>
      <x:c r="BK13" s="310" t="str">
        <x:f>IF(AND(BK$7&gt;=$E13,BK$7&lt;=$F13),1,"")</x:f>
      </x:c>
      <x:c r="BL13" s="314" t="str">
        <x:f>IF(AND(BL$7&gt;=$E13,BL$7&lt;=$F13),1,"")</x:f>
      </x:c>
      <x:c r="BM13" s="314" t="str">
        <x:f>IF(AND(BM$7&gt;=$E13,BM$7&lt;=$F13),1,"")</x:f>
      </x:c>
      <x:c r="BN13" s="314" t="str">
        <x:f>IF(AND(BN$7&gt;=$E13,BN$7&lt;=$F13),1,"")</x:f>
      </x:c>
      <x:c r="BO13" s="314" t="str">
        <x:f>IF(AND(BO$7&gt;=$E13,BO$7&lt;=$F13),1,"")</x:f>
      </x:c>
      <x:c r="BP13" s="314" t="str">
        <x:f>IF(AND(BP$7&gt;=$E13,BP$7&lt;=$F13),1,"")</x:f>
      </x:c>
      <x:c r="BQ13" s="312" t="str">
        <x:f>IF(AND(BQ$7&gt;=$E13,BQ$7&lt;=$F13),1,"")</x:f>
      </x:c>
      <x:c r="BR13" s="310" t="str">
        <x:f>IF(AND(BR$7&gt;=$E13,BR$7&lt;=$F13),1,"")</x:f>
      </x:c>
      <x:c r="BS13" s="310" t="str">
        <x:f>IF(AND(BS$7&gt;=$E13,BS$7&lt;=$F13),1,"")</x:f>
      </x:c>
      <x:c r="BT13" s="310" t="str">
        <x:f>IF(AND(BT$7&gt;=$E13,BT$7&lt;=$F13),1,"")</x:f>
      </x:c>
      <x:c r="BU13" s="310" t="str">
        <x:f>IF(AND(BU$7&gt;=$E13,BU$7&lt;=$F13),1,"")</x:f>
      </x:c>
      <x:c r="BV13" s="315" t="str">
        <x:f>IF(AND(BV$7&gt;=$E13,BV$7&lt;=$F13),1,"")</x:f>
      </x:c>
      <x:c r="BW13" s="315" t="str">
        <x:f>IF(AND(BW$7&gt;=$E13,BW$7&lt;=$F13),1,"")</x:f>
      </x:c>
      <x:c r="BX13" s="315" t="str">
        <x:f>IF(AND(BX$7&gt;=$E13,BX$7&lt;=$F13),1,"")</x:f>
      </x:c>
      <x:c r="BY13" s="315" t="str">
        <x:f>IF(AND(BY$7&gt;=$E13,BY$7&lt;=$F13),1,"")</x:f>
      </x:c>
      <x:c r="BZ13" s="315" t="str">
        <x:f>IF(AND(BZ$7&gt;=$E13,BZ$7&lt;=$F13),1,"")</x:f>
      </x:c>
      <x:c r="CA13" s="310" t="str">
        <x:f>IF(AND(CA$7&gt;=$E13,CA$7&lt;=$F13),1,"")</x:f>
      </x:c>
      <x:c r="CB13" s="310" t="str">
        <x:f>IF(AND(CB$7&gt;=$E13,CB$7&lt;=$F13),1,"")</x:f>
      </x:c>
      <x:c r="CC13" s="310" t="str">
        <x:f>IF(AND(CC$7&gt;=$E13,CC$7&lt;=$F13),1,"")</x:f>
      </x:c>
      <x:c r="CD13" s="310" t="str">
        <x:f>IF(AND(CD$7&gt;=$E13,CD$7&lt;=$F13),1,"")</x:f>
      </x:c>
      <x:c r="CE13" s="310" t="str">
        <x:f>IF(AND(CE$7&gt;=$E13,CE$7&lt;=$F13),1,"")</x:f>
      </x:c>
      <x:c r="CF13" s="315" t="str">
        <x:f>IF(AND(CF$7&gt;=$E13,CF$7&lt;=$F13),1,"")</x:f>
      </x:c>
      <x:c r="CG13" s="315" t="str">
        <x:f>IF(AND(CG$7&gt;=$E13,CG$7&lt;=$F13),1,"")</x:f>
      </x:c>
      <x:c r="CH13" s="315" t="str">
        <x:f>IF(AND(CH$7&gt;=$E13,CH$7&lt;=$F13),1,"")</x:f>
      </x:c>
      <x:c r="CI13" s="315" t="str">
        <x:f>IF(AND(CI$7&gt;=$E13,CI$7&lt;=$F13),1,"")</x:f>
      </x:c>
      <x:c r="CJ13" s="315" t="str">
        <x:f>IF(AND(CJ$7&gt;=$E13,CJ$7&lt;=$F13),1,"")</x:f>
      </x:c>
      <x:c r="CK13" s="312" t="str">
        <x:f>IF(AND(CK$7&gt;=$E13,CK$7&lt;=$F13),1,"")</x:f>
      </x:c>
      <x:c r="CL13" s="310" t="str">
        <x:f>IF(AND(CL$7&gt;=$E13,CL$7&lt;=$F13),1,"")</x:f>
      </x:c>
      <x:c r="CM13" s="310" t="str">
        <x:f>IF(AND(CM$7&gt;=$E13,CM$7&lt;=$F13),1,"")</x:f>
      </x:c>
      <x:c r="CN13" s="310" t="str">
        <x:f>IF(AND(CN$7&gt;=$E13,CN$7&lt;=$F13),1,"")</x:f>
      </x:c>
      <x:c r="CO13" s="310" t="str">
        <x:f>IF(AND(CO$7&gt;=$E13,CO$7&lt;=$F13),1,"")</x:f>
      </x:c>
      <x:c r="CP13" s="20"/>
    </x:row>
    <x:row r="14" ht="20" customHeight="1">
      <x:c r="B14" s="41" t="str">
        <x:v>1.3</x:v>
      </x:c>
      <x:c r="C14" s="341" t="str">
        <x:v>Analizar causas raíz y prioridades Pareto</x:v>
      </x:c>
      <x:c r="D14" s="347" t="str">
        <x:v>Equipo CAPSTONE</x:v>
      </x:c>
      <x:c r="E14" s="228" t="n">
        <x:v>46251</x:v>
      </x:c>
      <x:c r="F14" s="229" t="n">
        <x:v>46253</x:v>
      </x:c>
      <x:c r="G14" s="75" t="n">
        <x:f t="shared" si="0">IF(OR(E14="",F14=""),"",NETWORKDAYS(E14,F14))</x:f>
        <x:v>3</x:v>
      </x:c>
      <x:c r="H14" s="243" t="n">
        <x:v>1</x:v>
      </x:c>
      <x:c r="I14" s="309" t="str">
        <x:f>IF(AND(I$7&gt;=$E14,I$7&lt;=$F14),1,"")</x:f>
      </x:c>
      <x:c r="J14" s="310" t="str">
        <x:f>IF(AND(J$7&gt;=$E14,J$7&lt;=$F14),1,"")</x:f>
      </x:c>
      <x:c r="K14" s="310" t="str">
        <x:f>IF(AND(K$7&gt;=$E14,K$7&lt;=$F14),1,"")</x:f>
      </x:c>
      <x:c r="L14" s="310" t="str">
        <x:f>IF(AND(L$7&gt;=$E14,L$7&lt;=$F14),1,"")</x:f>
      </x:c>
      <x:c r="M14" s="310" t="str">
        <x:f>IF(AND(M$7&gt;=$E14,M$7&lt;=$F14),1,"")</x:f>
      </x:c>
      <x:c r="N14" s="311" t="n">
        <x:f>IF(AND(N$7&gt;=$E14,N$7&lt;=$F14),1,"")</x:f>
        <x:v>1</x:v>
      </x:c>
      <x:c r="O14" s="311" t="n">
        <x:f>IF(AND(O$7&gt;=$E14,O$7&lt;=$F14),1,"")</x:f>
        <x:v>1</x:v>
      </x:c>
      <x:c r="P14" s="311" t="n">
        <x:f>IF(AND(P$7&gt;=$E14,P$7&lt;=$F14),1,"")</x:f>
        <x:v>1</x:v>
      </x:c>
      <x:c r="Q14" s="311" t="str">
        <x:f>IF(AND(Q$7&gt;=$E14,Q$7&lt;=$F14),1,"")</x:f>
      </x:c>
      <x:c r="R14" s="311" t="str">
        <x:f>IF(AND(R$7&gt;=$E14,R$7&lt;=$F14),1,"")</x:f>
      </x:c>
      <x:c r="S14" s="310" t="str">
        <x:f>IF(AND(S$7&gt;=$E14,S$7&lt;=$F14),1,"")</x:f>
      </x:c>
      <x:c r="T14" s="310" t="str">
        <x:f>IF(AND(T$7&gt;=$E14,T$7&lt;=$F14),1,"")</x:f>
      </x:c>
      <x:c r="U14" s="310" t="str">
        <x:f>IF(AND(U$7&gt;=$E14,U$7&lt;=$F14),1,"")</x:f>
      </x:c>
      <x:c r="V14" s="310" t="str">
        <x:f>IF(AND(V$7&gt;=$E14,V$7&lt;=$F14),1,"")</x:f>
      </x:c>
      <x:c r="W14" s="310" t="str">
        <x:f>IF(AND(W$7&gt;=$E14,W$7&lt;=$F14),1,"")</x:f>
      </x:c>
      <x:c r="X14" s="311" t="str">
        <x:f>IF(AND(X$7&gt;=$E14,X$7&lt;=$F14),1,"")</x:f>
      </x:c>
      <x:c r="Y14" s="311" t="str">
        <x:f>IF(AND(Y$7&gt;=$E14,Y$7&lt;=$F14),1,"")</x:f>
      </x:c>
      <x:c r="Z14" s="311" t="str">
        <x:f>IF(AND(Z$7&gt;=$E14,Z$7&lt;=$F14),1,"")</x:f>
      </x:c>
      <x:c r="AA14" s="311" t="str">
        <x:f>IF(AND(AA$7&gt;=$E14,AA$7&lt;=$F14),1,"")</x:f>
      </x:c>
      <x:c r="AB14" s="311" t="str">
        <x:f>IF(AND(AB$7&gt;=$E14,AB$7&lt;=$F14),1,"")</x:f>
      </x:c>
      <x:c r="AC14" s="312" t="str">
        <x:f>IF(AND(AC$7&gt;=$E14,AC$7&lt;=$F14),1,"")</x:f>
      </x:c>
      <x:c r="AD14" s="310" t="str">
        <x:f>IF(AND(AD$7&gt;=$E14,AD$7&lt;=$F14),1,"")</x:f>
      </x:c>
      <x:c r="AE14" s="310" t="str">
        <x:f>IF(AND(AE$7&gt;=$E14,AE$7&lt;=$F14),1,"")</x:f>
      </x:c>
      <x:c r="AF14" s="310" t="str">
        <x:f>IF(AND(AF$7&gt;=$E14,AF$7&lt;=$F14),1,"")</x:f>
      </x:c>
      <x:c r="AG14" s="310" t="str">
        <x:f>IF(AND(AG$7&gt;=$E14,AG$7&lt;=$F14),1,"")</x:f>
      </x:c>
      <x:c r="AH14" s="313" t="str">
        <x:f>IF(AND(AH$7&gt;=$E14,AH$7&lt;=$F14),1,"")</x:f>
      </x:c>
      <x:c r="AI14" s="313" t="str">
        <x:f>IF(AND(AI$7&gt;=$E14,AI$7&lt;=$F14),1,"")</x:f>
      </x:c>
      <x:c r="AJ14" s="313" t="str">
        <x:f>IF(AND(AJ$7&gt;=$E14,AJ$7&lt;=$F14),1,"")</x:f>
      </x:c>
      <x:c r="AK14" s="313" t="str">
        <x:f>IF(AND(AK$7&gt;=$E14,AK$7&lt;=$F14),1,"")</x:f>
      </x:c>
      <x:c r="AL14" s="313" t="str">
        <x:f>IF(AND(AL$7&gt;=$E14,AL$7&lt;=$F14),1,"")</x:f>
      </x:c>
      <x:c r="AM14" s="310" t="str">
        <x:f>IF(AND(AM$7&gt;=$E14,AM$7&lt;=$F14),1,"")</x:f>
      </x:c>
      <x:c r="AN14" s="310" t="str">
        <x:f>IF(AND(AN$7&gt;=$E14,AN$7&lt;=$F14),1,"")</x:f>
      </x:c>
      <x:c r="AO14" s="310" t="str">
        <x:f>IF(AND(AO$7&gt;=$E14,AO$7&lt;=$F14),1,"")</x:f>
      </x:c>
      <x:c r="AP14" s="310" t="str">
        <x:f>IF(AND(AP$7&gt;=$E14,AP$7&lt;=$F14),1,"")</x:f>
      </x:c>
      <x:c r="AQ14" s="310" t="str">
        <x:f>IF(AND(AQ$7&gt;=$E14,AQ$7&lt;=$F14),1,"")</x:f>
      </x:c>
      <x:c r="AR14" s="313" t="str">
        <x:f>IF(AND(AR$7&gt;=$E14,AR$7&lt;=$F14),1,"")</x:f>
      </x:c>
      <x:c r="AS14" s="313" t="str">
        <x:f>IF(AND(AS$7&gt;=$E14,AS$7&lt;=$F14),1,"")</x:f>
      </x:c>
      <x:c r="AT14" s="313" t="str">
        <x:f>IF(AND(AT$7&gt;=$E14,AT$7&lt;=$F14),1,"")</x:f>
      </x:c>
      <x:c r="AU14" s="313" t="str">
        <x:f>IF(AND(AU$7&gt;=$E14,AU$7&lt;=$F14),1,"")</x:f>
      </x:c>
      <x:c r="AV14" s="313" t="str">
        <x:f>IF(AND(AV$7&gt;=$E14,AV$7&lt;=$F14),1,"")</x:f>
      </x:c>
      <x:c r="AW14" s="312" t="str">
        <x:f>IF(AND(AW$7&gt;=$E14,AW$7&lt;=$F14),1,"")</x:f>
      </x:c>
      <x:c r="AX14" s="310" t="str">
        <x:f>IF(AND(AX$7&gt;=$E14,AX$7&lt;=$F14),1,"")</x:f>
      </x:c>
      <x:c r="AY14" s="310" t="str">
        <x:f>IF(AND(AY$7&gt;=$E14,AY$7&lt;=$F14),1,"")</x:f>
      </x:c>
      <x:c r="AZ14" s="310" t="str">
        <x:f>IF(AND(AZ$7&gt;=$E14,AZ$7&lt;=$F14),1,"")</x:f>
      </x:c>
      <x:c r="BA14" s="310" t="str">
        <x:f>IF(AND(BA$7&gt;=$E14,BA$7&lt;=$F14),1,"")</x:f>
      </x:c>
      <x:c r="BB14" s="314" t="str">
        <x:f>IF(AND(BB$7&gt;=$E14,BB$7&lt;=$F14),1,"")</x:f>
      </x:c>
      <x:c r="BC14" s="314" t="str">
        <x:f>IF(AND(BC$7&gt;=$E14,BC$7&lt;=$F14),1,"")</x:f>
      </x:c>
      <x:c r="BD14" s="314" t="str">
        <x:f>IF(AND(BD$7&gt;=$E14,BD$7&lt;=$F14),1,"")</x:f>
      </x:c>
      <x:c r="BE14" s="314" t="str">
        <x:f>IF(AND(BE$7&gt;=$E14,BE$7&lt;=$F14),1,"")</x:f>
      </x:c>
      <x:c r="BF14" s="314" t="str">
        <x:f>IF(AND(BF$7&gt;=$E14,BF$7&lt;=$F14),1,"")</x:f>
      </x:c>
      <x:c r="BG14" s="310" t="str">
        <x:f>IF(AND(BG$7&gt;=$E14,BG$7&lt;=$F14),1,"")</x:f>
      </x:c>
      <x:c r="BH14" s="310" t="str">
        <x:f>IF(AND(BH$7&gt;=$E14,BH$7&lt;=$F14),1,"")</x:f>
      </x:c>
      <x:c r="BI14" s="310" t="str">
        <x:f>IF(AND(BI$7&gt;=$E14,BI$7&lt;=$F14),1,"")</x:f>
      </x:c>
      <x:c r="BJ14" s="310" t="str">
        <x:f>IF(AND(BJ$7&gt;=$E14,BJ$7&lt;=$F14),1,"")</x:f>
      </x:c>
      <x:c r="BK14" s="310" t="str">
        <x:f>IF(AND(BK$7&gt;=$E14,BK$7&lt;=$F14),1,"")</x:f>
      </x:c>
      <x:c r="BL14" s="314" t="str">
        <x:f>IF(AND(BL$7&gt;=$E14,BL$7&lt;=$F14),1,"")</x:f>
      </x:c>
      <x:c r="BM14" s="314" t="str">
        <x:f>IF(AND(BM$7&gt;=$E14,BM$7&lt;=$F14),1,"")</x:f>
      </x:c>
      <x:c r="BN14" s="314" t="str">
        <x:f>IF(AND(BN$7&gt;=$E14,BN$7&lt;=$F14),1,"")</x:f>
      </x:c>
      <x:c r="BO14" s="314" t="str">
        <x:f>IF(AND(BO$7&gt;=$E14,BO$7&lt;=$F14),1,"")</x:f>
      </x:c>
      <x:c r="BP14" s="314" t="str">
        <x:f>IF(AND(BP$7&gt;=$E14,BP$7&lt;=$F14),1,"")</x:f>
      </x:c>
      <x:c r="BQ14" s="312" t="str">
        <x:f>IF(AND(BQ$7&gt;=$E14,BQ$7&lt;=$F14),1,"")</x:f>
      </x:c>
      <x:c r="BR14" s="310" t="str">
        <x:f>IF(AND(BR$7&gt;=$E14,BR$7&lt;=$F14),1,"")</x:f>
      </x:c>
      <x:c r="BS14" s="310" t="str">
        <x:f>IF(AND(BS$7&gt;=$E14,BS$7&lt;=$F14),1,"")</x:f>
      </x:c>
      <x:c r="BT14" s="310" t="str">
        <x:f>IF(AND(BT$7&gt;=$E14,BT$7&lt;=$F14),1,"")</x:f>
      </x:c>
      <x:c r="BU14" s="310" t="str">
        <x:f>IF(AND(BU$7&gt;=$E14,BU$7&lt;=$F14),1,"")</x:f>
      </x:c>
      <x:c r="BV14" s="315" t="str">
        <x:f>IF(AND(BV$7&gt;=$E14,BV$7&lt;=$F14),1,"")</x:f>
      </x:c>
      <x:c r="BW14" s="315" t="str">
        <x:f>IF(AND(BW$7&gt;=$E14,BW$7&lt;=$F14),1,"")</x:f>
      </x:c>
      <x:c r="BX14" s="315" t="str">
        <x:f>IF(AND(BX$7&gt;=$E14,BX$7&lt;=$F14),1,"")</x:f>
      </x:c>
      <x:c r="BY14" s="315" t="str">
        <x:f>IF(AND(BY$7&gt;=$E14,BY$7&lt;=$F14),1,"")</x:f>
      </x:c>
      <x:c r="BZ14" s="315" t="str">
        <x:f>IF(AND(BZ$7&gt;=$E14,BZ$7&lt;=$F14),1,"")</x:f>
      </x:c>
      <x:c r="CA14" s="310" t="str">
        <x:f>IF(AND(CA$7&gt;=$E14,CA$7&lt;=$F14),1,"")</x:f>
      </x:c>
      <x:c r="CB14" s="310" t="str">
        <x:f>IF(AND(CB$7&gt;=$E14,CB$7&lt;=$F14),1,"")</x:f>
      </x:c>
      <x:c r="CC14" s="310" t="str">
        <x:f>IF(AND(CC$7&gt;=$E14,CC$7&lt;=$F14),1,"")</x:f>
      </x:c>
      <x:c r="CD14" s="310" t="str">
        <x:f>IF(AND(CD$7&gt;=$E14,CD$7&lt;=$F14),1,"")</x:f>
      </x:c>
      <x:c r="CE14" s="310" t="str">
        <x:f>IF(AND(CE$7&gt;=$E14,CE$7&lt;=$F14),1,"")</x:f>
      </x:c>
      <x:c r="CF14" s="315" t="str">
        <x:f>IF(AND(CF$7&gt;=$E14,CF$7&lt;=$F14),1,"")</x:f>
      </x:c>
      <x:c r="CG14" s="315" t="str">
        <x:f>IF(AND(CG$7&gt;=$E14,CG$7&lt;=$F14),1,"")</x:f>
      </x:c>
      <x:c r="CH14" s="315" t="str">
        <x:f>IF(AND(CH$7&gt;=$E14,CH$7&lt;=$F14),1,"")</x:f>
      </x:c>
      <x:c r="CI14" s="315" t="str">
        <x:f>IF(AND(CI$7&gt;=$E14,CI$7&lt;=$F14),1,"")</x:f>
      </x:c>
      <x:c r="CJ14" s="315" t="str">
        <x:f>IF(AND(CJ$7&gt;=$E14,CJ$7&lt;=$F14),1,"")</x:f>
      </x:c>
      <x:c r="CK14" s="312" t="str">
        <x:f>IF(AND(CK$7&gt;=$E14,CK$7&lt;=$F14),1,"")</x:f>
      </x:c>
      <x:c r="CL14" s="310" t="str">
        <x:f>IF(AND(CL$7&gt;=$E14,CL$7&lt;=$F14),1,"")</x:f>
      </x:c>
      <x:c r="CM14" s="310" t="str">
        <x:f>IF(AND(CM$7&gt;=$E14,CM$7&lt;=$F14),1,"")</x:f>
      </x:c>
      <x:c r="CN14" s="310" t="str">
        <x:f>IF(AND(CN$7&gt;=$E14,CN$7&lt;=$F14),1,"")</x:f>
      </x:c>
      <x:c r="CO14" s="310" t="str">
        <x:f>IF(AND(CO$7&gt;=$E14,CO$7&lt;=$F14),1,"")</x:f>
      </x:c>
      <x:c r="CP14" s="20"/>
    </x:row>
    <x:row r="15" ht="20" customHeight="1">
      <x:c r="B15" s="41" t="str">
        <x:v>1.4</x:v>
      </x:c>
      <x:c r="C15" s="341" t="str">
        <x:v>Definir TO-BE y alcance</x:v>
      </x:c>
      <x:c r="D15" s="347" t="str">
        <x:v>Equipo CAPSTONE</x:v>
      </x:c>
      <x:c r="E15" s="228" t="n">
        <x:v>46253</x:v>
      </x:c>
      <x:c r="F15" s="229" t="n">
        <x:v>46255</x:v>
      </x:c>
      <x:c r="G15" s="75" t="n">
        <x:f t="shared" si="0">IF(OR(E15="",F15=""),"",NETWORKDAYS(E15,F15))</x:f>
        <x:v>3</x:v>
      </x:c>
      <x:c r="H15" s="243" t="n">
        <x:v>1</x:v>
      </x:c>
      <x:c r="I15" s="309" t="str">
        <x:f>IF(AND(I$7&gt;=$E15,I$7&lt;=$F15),1,"")</x:f>
      </x:c>
      <x:c r="J15" s="310" t="str">
        <x:f>IF(AND(J$7&gt;=$E15,J$7&lt;=$F15),1,"")</x:f>
      </x:c>
      <x:c r="K15" s="310" t="str">
        <x:f>IF(AND(K$7&gt;=$E15,K$7&lt;=$F15),1,"")</x:f>
      </x:c>
      <x:c r="L15" s="310" t="str">
        <x:f>IF(AND(L$7&gt;=$E15,L$7&lt;=$F15),1,"")</x:f>
      </x:c>
      <x:c r="M15" s="310" t="str">
        <x:f>IF(AND(M$7&gt;=$E15,M$7&lt;=$F15),1,"")</x:f>
      </x:c>
      <x:c r="N15" s="311" t="str">
        <x:f>IF(AND(N$7&gt;=$E15,N$7&lt;=$F15),1,"")</x:f>
      </x:c>
      <x:c r="O15" s="311" t="str">
        <x:f>IF(AND(O$7&gt;=$E15,O$7&lt;=$F15),1,"")</x:f>
      </x:c>
      <x:c r="P15" s="311" t="n">
        <x:f>IF(AND(P$7&gt;=$E15,P$7&lt;=$F15),1,"")</x:f>
        <x:v>1</x:v>
      </x:c>
      <x:c r="Q15" s="311" t="n">
        <x:f>IF(AND(Q$7&gt;=$E15,Q$7&lt;=$F15),1,"")</x:f>
        <x:v>1</x:v>
      </x:c>
      <x:c r="R15" s="311" t="n">
        <x:f>IF(AND(R$7&gt;=$E15,R$7&lt;=$F15),1,"")</x:f>
        <x:v>1</x:v>
      </x:c>
      <x:c r="S15" s="310" t="str">
        <x:f>IF(AND(S$7&gt;=$E15,S$7&lt;=$F15),1,"")</x:f>
      </x:c>
      <x:c r="T15" s="310" t="str">
        <x:f>IF(AND(T$7&gt;=$E15,T$7&lt;=$F15),1,"")</x:f>
      </x:c>
      <x:c r="U15" s="310" t="str">
        <x:f>IF(AND(U$7&gt;=$E15,U$7&lt;=$F15),1,"")</x:f>
      </x:c>
      <x:c r="V15" s="310" t="str">
        <x:f>IF(AND(V$7&gt;=$E15,V$7&lt;=$F15),1,"")</x:f>
      </x:c>
      <x:c r="W15" s="310" t="str">
        <x:f>IF(AND(W$7&gt;=$E15,W$7&lt;=$F15),1,"")</x:f>
      </x:c>
      <x:c r="X15" s="311" t="str">
        <x:f>IF(AND(X$7&gt;=$E15,X$7&lt;=$F15),1,"")</x:f>
      </x:c>
      <x:c r="Y15" s="311" t="str">
        <x:f>IF(AND(Y$7&gt;=$E15,Y$7&lt;=$F15),1,"")</x:f>
      </x:c>
      <x:c r="Z15" s="311" t="str">
        <x:f>IF(AND(Z$7&gt;=$E15,Z$7&lt;=$F15),1,"")</x:f>
      </x:c>
      <x:c r="AA15" s="311" t="str">
        <x:f>IF(AND(AA$7&gt;=$E15,AA$7&lt;=$F15),1,"")</x:f>
      </x:c>
      <x:c r="AB15" s="311" t="str">
        <x:f>IF(AND(AB$7&gt;=$E15,AB$7&lt;=$F15),1,"")</x:f>
      </x:c>
      <x:c r="AC15" s="312" t="str">
        <x:f>IF(AND(AC$7&gt;=$E15,AC$7&lt;=$F15),1,"")</x:f>
      </x:c>
      <x:c r="AD15" s="310" t="str">
        <x:f>IF(AND(AD$7&gt;=$E15,AD$7&lt;=$F15),1,"")</x:f>
      </x:c>
      <x:c r="AE15" s="310" t="str">
        <x:f>IF(AND(AE$7&gt;=$E15,AE$7&lt;=$F15),1,"")</x:f>
      </x:c>
      <x:c r="AF15" s="310" t="str">
        <x:f>IF(AND(AF$7&gt;=$E15,AF$7&lt;=$F15),1,"")</x:f>
      </x:c>
      <x:c r="AG15" s="310" t="str">
        <x:f>IF(AND(AG$7&gt;=$E15,AG$7&lt;=$F15),1,"")</x:f>
      </x:c>
      <x:c r="AH15" s="313" t="str">
        <x:f>IF(AND(AH$7&gt;=$E15,AH$7&lt;=$F15),1,"")</x:f>
      </x:c>
      <x:c r="AI15" s="313" t="str">
        <x:f>IF(AND(AI$7&gt;=$E15,AI$7&lt;=$F15),1,"")</x:f>
      </x:c>
      <x:c r="AJ15" s="313" t="str">
        <x:f>IF(AND(AJ$7&gt;=$E15,AJ$7&lt;=$F15),1,"")</x:f>
      </x:c>
      <x:c r="AK15" s="313" t="str">
        <x:f>IF(AND(AK$7&gt;=$E15,AK$7&lt;=$F15),1,"")</x:f>
      </x:c>
      <x:c r="AL15" s="313" t="str">
        <x:f>IF(AND(AL$7&gt;=$E15,AL$7&lt;=$F15),1,"")</x:f>
      </x:c>
      <x:c r="AM15" s="310" t="str">
        <x:f>IF(AND(AM$7&gt;=$E15,AM$7&lt;=$F15),1,"")</x:f>
      </x:c>
      <x:c r="AN15" s="310" t="str">
        <x:f>IF(AND(AN$7&gt;=$E15,AN$7&lt;=$F15),1,"")</x:f>
      </x:c>
      <x:c r="AO15" s="310" t="str">
        <x:f>IF(AND(AO$7&gt;=$E15,AO$7&lt;=$F15),1,"")</x:f>
      </x:c>
      <x:c r="AP15" s="310" t="str">
        <x:f>IF(AND(AP$7&gt;=$E15,AP$7&lt;=$F15),1,"")</x:f>
      </x:c>
      <x:c r="AQ15" s="310" t="str">
        <x:f>IF(AND(AQ$7&gt;=$E15,AQ$7&lt;=$F15),1,"")</x:f>
      </x:c>
      <x:c r="AR15" s="313" t="str">
        <x:f>IF(AND(AR$7&gt;=$E15,AR$7&lt;=$F15),1,"")</x:f>
      </x:c>
      <x:c r="AS15" s="313" t="str">
        <x:f>IF(AND(AS$7&gt;=$E15,AS$7&lt;=$F15),1,"")</x:f>
      </x:c>
      <x:c r="AT15" s="313" t="str">
        <x:f>IF(AND(AT$7&gt;=$E15,AT$7&lt;=$F15),1,"")</x:f>
      </x:c>
      <x:c r="AU15" s="313" t="str">
        <x:f>IF(AND(AU$7&gt;=$E15,AU$7&lt;=$F15),1,"")</x:f>
      </x:c>
      <x:c r="AV15" s="313" t="str">
        <x:f>IF(AND(AV$7&gt;=$E15,AV$7&lt;=$F15),1,"")</x:f>
      </x:c>
      <x:c r="AW15" s="312" t="str">
        <x:f>IF(AND(AW$7&gt;=$E15,AW$7&lt;=$F15),1,"")</x:f>
      </x:c>
      <x:c r="AX15" s="310" t="str">
        <x:f>IF(AND(AX$7&gt;=$E15,AX$7&lt;=$F15),1,"")</x:f>
      </x:c>
      <x:c r="AY15" s="310" t="str">
        <x:f>IF(AND(AY$7&gt;=$E15,AY$7&lt;=$F15),1,"")</x:f>
      </x:c>
      <x:c r="AZ15" s="310" t="str">
        <x:f>IF(AND(AZ$7&gt;=$E15,AZ$7&lt;=$F15),1,"")</x:f>
      </x:c>
      <x:c r="BA15" s="310" t="str">
        <x:f>IF(AND(BA$7&gt;=$E15,BA$7&lt;=$F15),1,"")</x:f>
      </x:c>
      <x:c r="BB15" s="314" t="str">
        <x:f>IF(AND(BB$7&gt;=$E15,BB$7&lt;=$F15),1,"")</x:f>
      </x:c>
      <x:c r="BC15" s="314" t="str">
        <x:f>IF(AND(BC$7&gt;=$E15,BC$7&lt;=$F15),1,"")</x:f>
      </x:c>
      <x:c r="BD15" s="314" t="str">
        <x:f>IF(AND(BD$7&gt;=$E15,BD$7&lt;=$F15),1,"")</x:f>
      </x:c>
      <x:c r="BE15" s="314" t="str">
        <x:f>IF(AND(BE$7&gt;=$E15,BE$7&lt;=$F15),1,"")</x:f>
      </x:c>
      <x:c r="BF15" s="314" t="str">
        <x:f>IF(AND(BF$7&gt;=$E15,BF$7&lt;=$F15),1,"")</x:f>
      </x:c>
      <x:c r="BG15" s="310" t="str">
        <x:f>IF(AND(BG$7&gt;=$E15,BG$7&lt;=$F15),1,"")</x:f>
      </x:c>
      <x:c r="BH15" s="310" t="str">
        <x:f>IF(AND(BH$7&gt;=$E15,BH$7&lt;=$F15),1,"")</x:f>
      </x:c>
      <x:c r="BI15" s="310" t="str">
        <x:f>IF(AND(BI$7&gt;=$E15,BI$7&lt;=$F15),1,"")</x:f>
      </x:c>
      <x:c r="BJ15" s="310" t="str">
        <x:f>IF(AND(BJ$7&gt;=$E15,BJ$7&lt;=$F15),1,"")</x:f>
      </x:c>
      <x:c r="BK15" s="310" t="str">
        <x:f>IF(AND(BK$7&gt;=$E15,BK$7&lt;=$F15),1,"")</x:f>
      </x:c>
      <x:c r="BL15" s="314" t="str">
        <x:f>IF(AND(BL$7&gt;=$E15,BL$7&lt;=$F15),1,"")</x:f>
      </x:c>
      <x:c r="BM15" s="314" t="str">
        <x:f>IF(AND(BM$7&gt;=$E15,BM$7&lt;=$F15),1,"")</x:f>
      </x:c>
      <x:c r="BN15" s="314" t="str">
        <x:f>IF(AND(BN$7&gt;=$E15,BN$7&lt;=$F15),1,"")</x:f>
      </x:c>
      <x:c r="BO15" s="314" t="str">
        <x:f>IF(AND(BO$7&gt;=$E15,BO$7&lt;=$F15),1,"")</x:f>
      </x:c>
      <x:c r="BP15" s="314" t="str">
        <x:f>IF(AND(BP$7&gt;=$E15,BP$7&lt;=$F15),1,"")</x:f>
      </x:c>
      <x:c r="BQ15" s="312" t="str">
        <x:f>IF(AND(BQ$7&gt;=$E15,BQ$7&lt;=$F15),1,"")</x:f>
      </x:c>
      <x:c r="BR15" s="310" t="str">
        <x:f>IF(AND(BR$7&gt;=$E15,BR$7&lt;=$F15),1,"")</x:f>
      </x:c>
      <x:c r="BS15" s="310" t="str">
        <x:f>IF(AND(BS$7&gt;=$E15,BS$7&lt;=$F15),1,"")</x:f>
      </x:c>
      <x:c r="BT15" s="310" t="str">
        <x:f>IF(AND(BT$7&gt;=$E15,BT$7&lt;=$F15),1,"")</x:f>
      </x:c>
      <x:c r="BU15" s="310" t="str">
        <x:f>IF(AND(BU$7&gt;=$E15,BU$7&lt;=$F15),1,"")</x:f>
      </x:c>
      <x:c r="BV15" s="315" t="str">
        <x:f>IF(AND(BV$7&gt;=$E15,BV$7&lt;=$F15),1,"")</x:f>
      </x:c>
      <x:c r="BW15" s="315" t="str">
        <x:f>IF(AND(BW$7&gt;=$E15,BW$7&lt;=$F15),1,"")</x:f>
      </x:c>
      <x:c r="BX15" s="315" t="str">
        <x:f>IF(AND(BX$7&gt;=$E15,BX$7&lt;=$F15),1,"")</x:f>
      </x:c>
      <x:c r="BY15" s="315" t="str">
        <x:f>IF(AND(BY$7&gt;=$E15,BY$7&lt;=$F15),1,"")</x:f>
      </x:c>
      <x:c r="BZ15" s="315" t="str">
        <x:f>IF(AND(BZ$7&gt;=$E15,BZ$7&lt;=$F15),1,"")</x:f>
      </x:c>
      <x:c r="CA15" s="310" t="str">
        <x:f>IF(AND(CA$7&gt;=$E15,CA$7&lt;=$F15),1,"")</x:f>
      </x:c>
      <x:c r="CB15" s="310" t="str">
        <x:f>IF(AND(CB$7&gt;=$E15,CB$7&lt;=$F15),1,"")</x:f>
      </x:c>
      <x:c r="CC15" s="310" t="str">
        <x:f>IF(AND(CC$7&gt;=$E15,CC$7&lt;=$F15),1,"")</x:f>
      </x:c>
      <x:c r="CD15" s="310" t="str">
        <x:f>IF(AND(CD$7&gt;=$E15,CD$7&lt;=$F15),1,"")</x:f>
      </x:c>
      <x:c r="CE15" s="310" t="str">
        <x:f>IF(AND(CE$7&gt;=$E15,CE$7&lt;=$F15),1,"")</x:f>
      </x:c>
      <x:c r="CF15" s="315" t="str">
        <x:f>IF(AND(CF$7&gt;=$E15,CF$7&lt;=$F15),1,"")</x:f>
      </x:c>
      <x:c r="CG15" s="315" t="str">
        <x:f>IF(AND(CG$7&gt;=$E15,CG$7&lt;=$F15),1,"")</x:f>
      </x:c>
      <x:c r="CH15" s="315" t="str">
        <x:f>IF(AND(CH$7&gt;=$E15,CH$7&lt;=$F15),1,"")</x:f>
      </x:c>
      <x:c r="CI15" s="315" t="str">
        <x:f>IF(AND(CI$7&gt;=$E15,CI$7&lt;=$F15),1,"")</x:f>
      </x:c>
      <x:c r="CJ15" s="315" t="str">
        <x:f>IF(AND(CJ$7&gt;=$E15,CJ$7&lt;=$F15),1,"")</x:f>
      </x:c>
      <x:c r="CK15" s="312" t="str">
        <x:f>IF(AND(CK$7&gt;=$E15,CK$7&lt;=$F15),1,"")</x:f>
      </x:c>
      <x:c r="CL15" s="310" t="str">
        <x:f>IF(AND(CL$7&gt;=$E15,CL$7&lt;=$F15),1,"")</x:f>
      </x:c>
      <x:c r="CM15" s="310" t="str">
        <x:f>IF(AND(CM$7&gt;=$E15,CM$7&lt;=$F15),1,"")</x:f>
      </x:c>
      <x:c r="CN15" s="310" t="str">
        <x:f>IF(AND(CN$7&gt;=$E15,CN$7&lt;=$F15),1,"")</x:f>
      </x:c>
      <x:c r="CO15" s="310" t="str">
        <x:f>IF(AND(CO$7&gt;=$E15,CO$7&lt;=$F15),1,"")</x:f>
      </x:c>
      <x:c r="CP15" s="20"/>
    </x:row>
    <x:row r="16" ht="20" customHeight="1">
      <x:c r="B16" s="41" t="str">
        <x:v>1.5</x:v>
      </x:c>
      <x:c r="C16" s="341" t="str">
        <x:v>Definir RF, RNF y reglas de negocio</x:v>
      </x:c>
      <x:c r="D16" s="347" t="str">
        <x:v>Equipo CAPSTONE</x:v>
      </x:c>
      <x:c r="E16" s="228" t="n">
        <x:v>46254</x:v>
      </x:c>
      <x:c r="F16" s="229" t="n">
        <x:v>46259</x:v>
      </x:c>
      <x:c r="G16" s="75" t="n">
        <x:f t="shared" si="0">IF(OR(E16="",F16=""),"",NETWORKDAYS(E16,F16))</x:f>
        <x:v>4</x:v>
      </x:c>
      <x:c r="H16" s="243" t="n">
        <x:v>1</x:v>
      </x:c>
      <x:c r="I16" s="309" t="str">
        <x:f>IF(AND(I$7&gt;=$E16,I$7&lt;=$F16),1,"")</x:f>
      </x:c>
      <x:c r="J16" s="310" t="str">
        <x:f>IF(AND(J$7&gt;=$E16,J$7&lt;=$F16),1,"")</x:f>
      </x:c>
      <x:c r="K16" s="310" t="str">
        <x:f>IF(AND(K$7&gt;=$E16,K$7&lt;=$F16),1,"")</x:f>
      </x:c>
      <x:c r="L16" s="310" t="str">
        <x:f>IF(AND(L$7&gt;=$E16,L$7&lt;=$F16),1,"")</x:f>
      </x:c>
      <x:c r="M16" s="310" t="str">
        <x:f>IF(AND(M$7&gt;=$E16,M$7&lt;=$F16),1,"")</x:f>
      </x:c>
      <x:c r="N16" s="311" t="str">
        <x:f>IF(AND(N$7&gt;=$E16,N$7&lt;=$F16),1,"")</x:f>
      </x:c>
      <x:c r="O16" s="311" t="str">
        <x:f>IF(AND(O$7&gt;=$E16,O$7&lt;=$F16),1,"")</x:f>
      </x:c>
      <x:c r="P16" s="311" t="str">
        <x:f>IF(AND(P$7&gt;=$E16,P$7&lt;=$F16),1,"")</x:f>
      </x:c>
      <x:c r="Q16" s="311" t="n">
        <x:f>IF(AND(Q$7&gt;=$E16,Q$7&lt;=$F16),1,"")</x:f>
        <x:v>1</x:v>
      </x:c>
      <x:c r="R16" s="311" t="n">
        <x:f>IF(AND(R$7&gt;=$E16,R$7&lt;=$F16),1,"")</x:f>
        <x:v>1</x:v>
      </x:c>
      <x:c r="S16" s="310" t="n">
        <x:f>IF(AND(S$7&gt;=$E16,S$7&lt;=$F16),1,"")</x:f>
        <x:v>1</x:v>
      </x:c>
      <x:c r="T16" s="310" t="n">
        <x:f>IF(AND(T$7&gt;=$E16,T$7&lt;=$F16),1,"")</x:f>
        <x:v>1</x:v>
      </x:c>
      <x:c r="U16" s="310" t="str">
        <x:f>IF(AND(U$7&gt;=$E16,U$7&lt;=$F16),1,"")</x:f>
      </x:c>
      <x:c r="V16" s="310" t="str">
        <x:f>IF(AND(V$7&gt;=$E16,V$7&lt;=$F16),1,"")</x:f>
      </x:c>
      <x:c r="W16" s="310" t="str">
        <x:f>IF(AND(W$7&gt;=$E16,W$7&lt;=$F16),1,"")</x:f>
      </x:c>
      <x:c r="X16" s="311" t="str">
        <x:f>IF(AND(X$7&gt;=$E16,X$7&lt;=$F16),1,"")</x:f>
      </x:c>
      <x:c r="Y16" s="311" t="str">
        <x:f>IF(AND(Y$7&gt;=$E16,Y$7&lt;=$F16),1,"")</x:f>
      </x:c>
      <x:c r="Z16" s="311" t="str">
        <x:f>IF(AND(Z$7&gt;=$E16,Z$7&lt;=$F16),1,"")</x:f>
      </x:c>
      <x:c r="AA16" s="311" t="str">
        <x:f>IF(AND(AA$7&gt;=$E16,AA$7&lt;=$F16),1,"")</x:f>
      </x:c>
      <x:c r="AB16" s="311" t="str">
        <x:f>IF(AND(AB$7&gt;=$E16,AB$7&lt;=$F16),1,"")</x:f>
      </x:c>
      <x:c r="AC16" s="312" t="str">
        <x:f>IF(AND(AC$7&gt;=$E16,AC$7&lt;=$F16),1,"")</x:f>
      </x:c>
      <x:c r="AD16" s="310" t="str">
        <x:f>IF(AND(AD$7&gt;=$E16,AD$7&lt;=$F16),1,"")</x:f>
      </x:c>
      <x:c r="AE16" s="310" t="str">
        <x:f>IF(AND(AE$7&gt;=$E16,AE$7&lt;=$F16),1,"")</x:f>
      </x:c>
      <x:c r="AF16" s="310" t="str">
        <x:f>IF(AND(AF$7&gt;=$E16,AF$7&lt;=$F16),1,"")</x:f>
      </x:c>
      <x:c r="AG16" s="310" t="str">
        <x:f>IF(AND(AG$7&gt;=$E16,AG$7&lt;=$F16),1,"")</x:f>
      </x:c>
      <x:c r="AH16" s="313" t="str">
        <x:f>IF(AND(AH$7&gt;=$E16,AH$7&lt;=$F16),1,"")</x:f>
      </x:c>
      <x:c r="AI16" s="313" t="str">
        <x:f>IF(AND(AI$7&gt;=$E16,AI$7&lt;=$F16),1,"")</x:f>
      </x:c>
      <x:c r="AJ16" s="313" t="str">
        <x:f>IF(AND(AJ$7&gt;=$E16,AJ$7&lt;=$F16),1,"")</x:f>
      </x:c>
      <x:c r="AK16" s="313" t="str">
        <x:f>IF(AND(AK$7&gt;=$E16,AK$7&lt;=$F16),1,"")</x:f>
      </x:c>
      <x:c r="AL16" s="313" t="str">
        <x:f>IF(AND(AL$7&gt;=$E16,AL$7&lt;=$F16),1,"")</x:f>
      </x:c>
      <x:c r="AM16" s="310" t="str">
        <x:f>IF(AND(AM$7&gt;=$E16,AM$7&lt;=$F16),1,"")</x:f>
      </x:c>
      <x:c r="AN16" s="310" t="str">
        <x:f>IF(AND(AN$7&gt;=$E16,AN$7&lt;=$F16),1,"")</x:f>
      </x:c>
      <x:c r="AO16" s="310" t="str">
        <x:f>IF(AND(AO$7&gt;=$E16,AO$7&lt;=$F16),1,"")</x:f>
      </x:c>
      <x:c r="AP16" s="310" t="str">
        <x:f>IF(AND(AP$7&gt;=$E16,AP$7&lt;=$F16),1,"")</x:f>
      </x:c>
      <x:c r="AQ16" s="310" t="str">
        <x:f>IF(AND(AQ$7&gt;=$E16,AQ$7&lt;=$F16),1,"")</x:f>
      </x:c>
      <x:c r="AR16" s="313" t="str">
        <x:f>IF(AND(AR$7&gt;=$E16,AR$7&lt;=$F16),1,"")</x:f>
      </x:c>
      <x:c r="AS16" s="313" t="str">
        <x:f>IF(AND(AS$7&gt;=$E16,AS$7&lt;=$F16),1,"")</x:f>
      </x:c>
      <x:c r="AT16" s="313" t="str">
        <x:f>IF(AND(AT$7&gt;=$E16,AT$7&lt;=$F16),1,"")</x:f>
      </x:c>
      <x:c r="AU16" s="313" t="str">
        <x:f>IF(AND(AU$7&gt;=$E16,AU$7&lt;=$F16),1,"")</x:f>
      </x:c>
      <x:c r="AV16" s="313" t="str">
        <x:f>IF(AND(AV$7&gt;=$E16,AV$7&lt;=$F16),1,"")</x:f>
      </x:c>
      <x:c r="AW16" s="312" t="str">
        <x:f>IF(AND(AW$7&gt;=$E16,AW$7&lt;=$F16),1,"")</x:f>
      </x:c>
      <x:c r="AX16" s="310" t="str">
        <x:f>IF(AND(AX$7&gt;=$E16,AX$7&lt;=$F16),1,"")</x:f>
      </x:c>
      <x:c r="AY16" s="310" t="str">
        <x:f>IF(AND(AY$7&gt;=$E16,AY$7&lt;=$F16),1,"")</x:f>
      </x:c>
      <x:c r="AZ16" s="310" t="str">
        <x:f>IF(AND(AZ$7&gt;=$E16,AZ$7&lt;=$F16),1,"")</x:f>
      </x:c>
      <x:c r="BA16" s="310" t="str">
        <x:f>IF(AND(BA$7&gt;=$E16,BA$7&lt;=$F16),1,"")</x:f>
      </x:c>
      <x:c r="BB16" s="314" t="str">
        <x:f>IF(AND(BB$7&gt;=$E16,BB$7&lt;=$F16),1,"")</x:f>
      </x:c>
      <x:c r="BC16" s="314" t="str">
        <x:f>IF(AND(BC$7&gt;=$E16,BC$7&lt;=$F16),1,"")</x:f>
      </x:c>
      <x:c r="BD16" s="314" t="str">
        <x:f>IF(AND(BD$7&gt;=$E16,BD$7&lt;=$F16),1,"")</x:f>
      </x:c>
      <x:c r="BE16" s="314" t="str">
        <x:f>IF(AND(BE$7&gt;=$E16,BE$7&lt;=$F16),1,"")</x:f>
      </x:c>
      <x:c r="BF16" s="314" t="str">
        <x:f>IF(AND(BF$7&gt;=$E16,BF$7&lt;=$F16),1,"")</x:f>
      </x:c>
      <x:c r="BG16" s="310" t="str">
        <x:f>IF(AND(BG$7&gt;=$E16,BG$7&lt;=$F16),1,"")</x:f>
      </x:c>
      <x:c r="BH16" s="310" t="str">
        <x:f>IF(AND(BH$7&gt;=$E16,BH$7&lt;=$F16),1,"")</x:f>
      </x:c>
      <x:c r="BI16" s="310" t="str">
        <x:f>IF(AND(BI$7&gt;=$E16,BI$7&lt;=$F16),1,"")</x:f>
      </x:c>
      <x:c r="BJ16" s="310" t="str">
        <x:f>IF(AND(BJ$7&gt;=$E16,BJ$7&lt;=$F16),1,"")</x:f>
      </x:c>
      <x:c r="BK16" s="310" t="str">
        <x:f>IF(AND(BK$7&gt;=$E16,BK$7&lt;=$F16),1,"")</x:f>
      </x:c>
      <x:c r="BL16" s="314" t="str">
        <x:f>IF(AND(BL$7&gt;=$E16,BL$7&lt;=$F16),1,"")</x:f>
      </x:c>
      <x:c r="BM16" s="314" t="str">
        <x:f>IF(AND(BM$7&gt;=$E16,BM$7&lt;=$F16),1,"")</x:f>
      </x:c>
      <x:c r="BN16" s="314" t="str">
        <x:f>IF(AND(BN$7&gt;=$E16,BN$7&lt;=$F16),1,"")</x:f>
      </x:c>
      <x:c r="BO16" s="314" t="str">
        <x:f>IF(AND(BO$7&gt;=$E16,BO$7&lt;=$F16),1,"")</x:f>
      </x:c>
      <x:c r="BP16" s="314" t="str">
        <x:f>IF(AND(BP$7&gt;=$E16,BP$7&lt;=$F16),1,"")</x:f>
      </x:c>
      <x:c r="BQ16" s="312" t="str">
        <x:f>IF(AND(BQ$7&gt;=$E16,BQ$7&lt;=$F16),1,"")</x:f>
      </x:c>
      <x:c r="BR16" s="310" t="str">
        <x:f>IF(AND(BR$7&gt;=$E16,BR$7&lt;=$F16),1,"")</x:f>
      </x:c>
      <x:c r="BS16" s="310" t="str">
        <x:f>IF(AND(BS$7&gt;=$E16,BS$7&lt;=$F16),1,"")</x:f>
      </x:c>
      <x:c r="BT16" s="310" t="str">
        <x:f>IF(AND(BT$7&gt;=$E16,BT$7&lt;=$F16),1,"")</x:f>
      </x:c>
      <x:c r="BU16" s="310" t="str">
        <x:f>IF(AND(BU$7&gt;=$E16,BU$7&lt;=$F16),1,"")</x:f>
      </x:c>
      <x:c r="BV16" s="315" t="str">
        <x:f>IF(AND(BV$7&gt;=$E16,BV$7&lt;=$F16),1,"")</x:f>
      </x:c>
      <x:c r="BW16" s="315" t="str">
        <x:f>IF(AND(BW$7&gt;=$E16,BW$7&lt;=$F16),1,"")</x:f>
      </x:c>
      <x:c r="BX16" s="315" t="str">
        <x:f>IF(AND(BX$7&gt;=$E16,BX$7&lt;=$F16),1,"")</x:f>
      </x:c>
      <x:c r="BY16" s="315" t="str">
        <x:f>IF(AND(BY$7&gt;=$E16,BY$7&lt;=$F16),1,"")</x:f>
      </x:c>
      <x:c r="BZ16" s="315" t="str">
        <x:f>IF(AND(BZ$7&gt;=$E16,BZ$7&lt;=$F16),1,"")</x:f>
      </x:c>
      <x:c r="CA16" s="310" t="str">
        <x:f>IF(AND(CA$7&gt;=$E16,CA$7&lt;=$F16),1,"")</x:f>
      </x:c>
      <x:c r="CB16" s="310" t="str">
        <x:f>IF(AND(CB$7&gt;=$E16,CB$7&lt;=$F16),1,"")</x:f>
      </x:c>
      <x:c r="CC16" s="310" t="str">
        <x:f>IF(AND(CC$7&gt;=$E16,CC$7&lt;=$F16),1,"")</x:f>
      </x:c>
      <x:c r="CD16" s="310" t="str">
        <x:f>IF(AND(CD$7&gt;=$E16,CD$7&lt;=$F16),1,"")</x:f>
      </x:c>
      <x:c r="CE16" s="310" t="str">
        <x:f>IF(AND(CE$7&gt;=$E16,CE$7&lt;=$F16),1,"")</x:f>
      </x:c>
      <x:c r="CF16" s="315" t="str">
        <x:f>IF(AND(CF$7&gt;=$E16,CF$7&lt;=$F16),1,"")</x:f>
      </x:c>
      <x:c r="CG16" s="315" t="str">
        <x:f>IF(AND(CG$7&gt;=$E16,CG$7&lt;=$F16),1,"")</x:f>
      </x:c>
      <x:c r="CH16" s="315" t="str">
        <x:f>IF(AND(CH$7&gt;=$E16,CH$7&lt;=$F16),1,"")</x:f>
      </x:c>
      <x:c r="CI16" s="315" t="str">
        <x:f>IF(AND(CI$7&gt;=$E16,CI$7&lt;=$F16),1,"")</x:f>
      </x:c>
      <x:c r="CJ16" s="315" t="str">
        <x:f>IF(AND(CJ$7&gt;=$E16,CJ$7&lt;=$F16),1,"")</x:f>
      </x:c>
      <x:c r="CK16" s="312" t="str">
        <x:f>IF(AND(CK$7&gt;=$E16,CK$7&lt;=$F16),1,"")</x:f>
      </x:c>
      <x:c r="CL16" s="310" t="str">
        <x:f>IF(AND(CL$7&gt;=$E16,CL$7&lt;=$F16),1,"")</x:f>
      </x:c>
      <x:c r="CM16" s="310" t="str">
        <x:f>IF(AND(CM$7&gt;=$E16,CM$7&lt;=$F16),1,"")</x:f>
      </x:c>
      <x:c r="CN16" s="310" t="str">
        <x:f>IF(AND(CN$7&gt;=$E16,CN$7&lt;=$F16),1,"")</x:f>
      </x:c>
      <x:c r="CO16" s="310" t="str">
        <x:f>IF(AND(CO$7&gt;=$E16,CO$7&lt;=$F16),1,"")</x:f>
      </x:c>
      <x:c r="CP16" s="20"/>
    </x:row>
    <x:row r="17" ht="20" customHeight="1">
      <x:c r="B17" s="41" t="str">
        <x:v>1.6</x:v>
      </x:c>
      <x:c r="C17" s="341" t="str">
        <x:v>Casos de uso, HU, MVP, riesgos y HANDOFF</x:v>
      </x:c>
      <x:c r="D17" s="347" t="str">
        <x:v>Equipo CAPSTONE</x:v>
      </x:c>
      <x:c r="E17" s="228" t="n">
        <x:v>46258</x:v>
      </x:c>
      <x:c r="F17" s="229" t="n">
        <x:v>46262</x:v>
      </x:c>
      <x:c r="G17" s="75" t="n">
        <x:f t="shared" si="0">IF(OR(E17="",F17=""),"",NETWORKDAYS(E17,F17))</x:f>
        <x:v>5</x:v>
      </x:c>
      <x:c r="H17" s="243" t="n">
        <x:v>1</x:v>
      </x:c>
      <x:c r="I17" s="309" t="str">
        <x:f>IF(AND(I$7&gt;=$E17,I$7&lt;=$F17),1,"")</x:f>
      </x:c>
      <x:c r="J17" s="310" t="str">
        <x:f>IF(AND(J$7&gt;=$E17,J$7&lt;=$F17),1,"")</x:f>
      </x:c>
      <x:c r="K17" s="310" t="str">
        <x:f>IF(AND(K$7&gt;=$E17,K$7&lt;=$F17),1,"")</x:f>
      </x:c>
      <x:c r="L17" s="310" t="str">
        <x:f>IF(AND(L$7&gt;=$E17,L$7&lt;=$F17),1,"")</x:f>
      </x:c>
      <x:c r="M17" s="310" t="str">
        <x:f>IF(AND(M$7&gt;=$E17,M$7&lt;=$F17),1,"")</x:f>
      </x:c>
      <x:c r="N17" s="311" t="str">
        <x:f>IF(AND(N$7&gt;=$E17,N$7&lt;=$F17),1,"")</x:f>
      </x:c>
      <x:c r="O17" s="311" t="str">
        <x:f>IF(AND(O$7&gt;=$E17,O$7&lt;=$F17),1,"")</x:f>
      </x:c>
      <x:c r="P17" s="311" t="str">
        <x:f>IF(AND(P$7&gt;=$E17,P$7&lt;=$F17),1,"")</x:f>
      </x:c>
      <x:c r="Q17" s="311" t="str">
        <x:f>IF(AND(Q$7&gt;=$E17,Q$7&lt;=$F17),1,"")</x:f>
      </x:c>
      <x:c r="R17" s="311" t="str">
        <x:f>IF(AND(R$7&gt;=$E17,R$7&lt;=$F17),1,"")</x:f>
      </x:c>
      <x:c r="S17" s="310" t="n">
        <x:f>IF(AND(S$7&gt;=$E17,S$7&lt;=$F17),1,"")</x:f>
        <x:v>1</x:v>
      </x:c>
      <x:c r="T17" s="310" t="n">
        <x:f>IF(AND(T$7&gt;=$E17,T$7&lt;=$F17),1,"")</x:f>
        <x:v>1</x:v>
      </x:c>
      <x:c r="U17" s="310" t="n">
        <x:f>IF(AND(U$7&gt;=$E17,U$7&lt;=$F17),1,"")</x:f>
        <x:v>1</x:v>
      </x:c>
      <x:c r="V17" s="310" t="n">
        <x:f>IF(AND(V$7&gt;=$E17,V$7&lt;=$F17),1,"")</x:f>
        <x:v>1</x:v>
      </x:c>
      <x:c r="W17" s="310" t="n">
        <x:f>IF(AND(W$7&gt;=$E17,W$7&lt;=$F17),1,"")</x:f>
        <x:v>1</x:v>
      </x:c>
      <x:c r="X17" s="311" t="str">
        <x:f>IF(AND(X$7&gt;=$E17,X$7&lt;=$F17),1,"")</x:f>
      </x:c>
      <x:c r="Y17" s="311" t="str">
        <x:f>IF(AND(Y$7&gt;=$E17,Y$7&lt;=$F17),1,"")</x:f>
      </x:c>
      <x:c r="Z17" s="311" t="str">
        <x:f>IF(AND(Z$7&gt;=$E17,Z$7&lt;=$F17),1,"")</x:f>
      </x:c>
      <x:c r="AA17" s="311" t="str">
        <x:f>IF(AND(AA$7&gt;=$E17,AA$7&lt;=$F17),1,"")</x:f>
      </x:c>
      <x:c r="AB17" s="311" t="str">
        <x:f>IF(AND(AB$7&gt;=$E17,AB$7&lt;=$F17),1,"")</x:f>
      </x:c>
      <x:c r="AC17" s="312" t="str">
        <x:f>IF(AND(AC$7&gt;=$E17,AC$7&lt;=$F17),1,"")</x:f>
      </x:c>
      <x:c r="AD17" s="310" t="str">
        <x:f>IF(AND(AD$7&gt;=$E17,AD$7&lt;=$F17),1,"")</x:f>
      </x:c>
      <x:c r="AE17" s="310" t="str">
        <x:f>IF(AND(AE$7&gt;=$E17,AE$7&lt;=$F17),1,"")</x:f>
      </x:c>
      <x:c r="AF17" s="310" t="str">
        <x:f>IF(AND(AF$7&gt;=$E17,AF$7&lt;=$F17),1,"")</x:f>
      </x:c>
      <x:c r="AG17" s="310" t="str">
        <x:f>IF(AND(AG$7&gt;=$E17,AG$7&lt;=$F17),1,"")</x:f>
      </x:c>
      <x:c r="AH17" s="313" t="str">
        <x:f>IF(AND(AH$7&gt;=$E17,AH$7&lt;=$F17),1,"")</x:f>
      </x:c>
      <x:c r="AI17" s="313" t="str">
        <x:f>IF(AND(AI$7&gt;=$E17,AI$7&lt;=$F17),1,"")</x:f>
      </x:c>
      <x:c r="AJ17" s="313" t="str">
        <x:f>IF(AND(AJ$7&gt;=$E17,AJ$7&lt;=$F17),1,"")</x:f>
      </x:c>
      <x:c r="AK17" s="313" t="str">
        <x:f>IF(AND(AK$7&gt;=$E17,AK$7&lt;=$F17),1,"")</x:f>
      </x:c>
      <x:c r="AL17" s="313" t="str">
        <x:f>IF(AND(AL$7&gt;=$E17,AL$7&lt;=$F17),1,"")</x:f>
      </x:c>
      <x:c r="AM17" s="310" t="str">
        <x:f>IF(AND(AM$7&gt;=$E17,AM$7&lt;=$F17),1,"")</x:f>
      </x:c>
      <x:c r="AN17" s="310" t="str">
        <x:f>IF(AND(AN$7&gt;=$E17,AN$7&lt;=$F17),1,"")</x:f>
      </x:c>
      <x:c r="AO17" s="310" t="str">
        <x:f>IF(AND(AO$7&gt;=$E17,AO$7&lt;=$F17),1,"")</x:f>
      </x:c>
      <x:c r="AP17" s="310" t="str">
        <x:f>IF(AND(AP$7&gt;=$E17,AP$7&lt;=$F17),1,"")</x:f>
      </x:c>
      <x:c r="AQ17" s="310" t="str">
        <x:f>IF(AND(AQ$7&gt;=$E17,AQ$7&lt;=$F17),1,"")</x:f>
      </x:c>
      <x:c r="AR17" s="313" t="str">
        <x:f>IF(AND(AR$7&gt;=$E17,AR$7&lt;=$F17),1,"")</x:f>
      </x:c>
      <x:c r="AS17" s="313" t="str">
        <x:f>IF(AND(AS$7&gt;=$E17,AS$7&lt;=$F17),1,"")</x:f>
      </x:c>
      <x:c r="AT17" s="313" t="str">
        <x:f>IF(AND(AT$7&gt;=$E17,AT$7&lt;=$F17),1,"")</x:f>
      </x:c>
      <x:c r="AU17" s="313" t="str">
        <x:f>IF(AND(AU$7&gt;=$E17,AU$7&lt;=$F17),1,"")</x:f>
      </x:c>
      <x:c r="AV17" s="313" t="str">
        <x:f>IF(AND(AV$7&gt;=$E17,AV$7&lt;=$F17),1,"")</x:f>
      </x:c>
      <x:c r="AW17" s="312" t="str">
        <x:f>IF(AND(AW$7&gt;=$E17,AW$7&lt;=$F17),1,"")</x:f>
      </x:c>
      <x:c r="AX17" s="310" t="str">
        <x:f>IF(AND(AX$7&gt;=$E17,AX$7&lt;=$F17),1,"")</x:f>
      </x:c>
      <x:c r="AY17" s="310" t="str">
        <x:f>IF(AND(AY$7&gt;=$E17,AY$7&lt;=$F17),1,"")</x:f>
      </x:c>
      <x:c r="AZ17" s="310" t="str">
        <x:f>IF(AND(AZ$7&gt;=$E17,AZ$7&lt;=$F17),1,"")</x:f>
      </x:c>
      <x:c r="BA17" s="310" t="str">
        <x:f>IF(AND(BA$7&gt;=$E17,BA$7&lt;=$F17),1,"")</x:f>
      </x:c>
      <x:c r="BB17" s="314" t="str">
        <x:f>IF(AND(BB$7&gt;=$E17,BB$7&lt;=$F17),1,"")</x:f>
      </x:c>
      <x:c r="BC17" s="314" t="str">
        <x:f>IF(AND(BC$7&gt;=$E17,BC$7&lt;=$F17),1,"")</x:f>
      </x:c>
      <x:c r="BD17" s="314" t="str">
        <x:f>IF(AND(BD$7&gt;=$E17,BD$7&lt;=$F17),1,"")</x:f>
      </x:c>
      <x:c r="BE17" s="314" t="str">
        <x:f>IF(AND(BE$7&gt;=$E17,BE$7&lt;=$F17),1,"")</x:f>
      </x:c>
      <x:c r="BF17" s="314" t="str">
        <x:f>IF(AND(BF$7&gt;=$E17,BF$7&lt;=$F17),1,"")</x:f>
      </x:c>
      <x:c r="BG17" s="310" t="str">
        <x:f>IF(AND(BG$7&gt;=$E17,BG$7&lt;=$F17),1,"")</x:f>
      </x:c>
      <x:c r="BH17" s="310" t="str">
        <x:f>IF(AND(BH$7&gt;=$E17,BH$7&lt;=$F17),1,"")</x:f>
      </x:c>
      <x:c r="BI17" s="310" t="str">
        <x:f>IF(AND(BI$7&gt;=$E17,BI$7&lt;=$F17),1,"")</x:f>
      </x:c>
      <x:c r="BJ17" s="310" t="str">
        <x:f>IF(AND(BJ$7&gt;=$E17,BJ$7&lt;=$F17),1,"")</x:f>
      </x:c>
      <x:c r="BK17" s="310" t="str">
        <x:f>IF(AND(BK$7&gt;=$E17,BK$7&lt;=$F17),1,"")</x:f>
      </x:c>
      <x:c r="BL17" s="314" t="str">
        <x:f>IF(AND(BL$7&gt;=$E17,BL$7&lt;=$F17),1,"")</x:f>
      </x:c>
      <x:c r="BM17" s="314" t="str">
        <x:f>IF(AND(BM$7&gt;=$E17,BM$7&lt;=$F17),1,"")</x:f>
      </x:c>
      <x:c r="BN17" s="314" t="str">
        <x:f>IF(AND(BN$7&gt;=$E17,BN$7&lt;=$F17),1,"")</x:f>
      </x:c>
      <x:c r="BO17" s="314" t="str">
        <x:f>IF(AND(BO$7&gt;=$E17,BO$7&lt;=$F17),1,"")</x:f>
      </x:c>
      <x:c r="BP17" s="314" t="str">
        <x:f>IF(AND(BP$7&gt;=$E17,BP$7&lt;=$F17),1,"")</x:f>
      </x:c>
      <x:c r="BQ17" s="312" t="str">
        <x:f>IF(AND(BQ$7&gt;=$E17,BQ$7&lt;=$F17),1,"")</x:f>
      </x:c>
      <x:c r="BR17" s="310" t="str">
        <x:f>IF(AND(BR$7&gt;=$E17,BR$7&lt;=$F17),1,"")</x:f>
      </x:c>
      <x:c r="BS17" s="310" t="str">
        <x:f>IF(AND(BS$7&gt;=$E17,BS$7&lt;=$F17),1,"")</x:f>
      </x:c>
      <x:c r="BT17" s="310" t="str">
        <x:f>IF(AND(BT$7&gt;=$E17,BT$7&lt;=$F17),1,"")</x:f>
      </x:c>
      <x:c r="BU17" s="310" t="str">
        <x:f>IF(AND(BU$7&gt;=$E17,BU$7&lt;=$F17),1,"")</x:f>
      </x:c>
      <x:c r="BV17" s="315" t="str">
        <x:f>IF(AND(BV$7&gt;=$E17,BV$7&lt;=$F17),1,"")</x:f>
      </x:c>
      <x:c r="BW17" s="315" t="str">
        <x:f>IF(AND(BW$7&gt;=$E17,BW$7&lt;=$F17),1,"")</x:f>
      </x:c>
      <x:c r="BX17" s="315" t="str">
        <x:f>IF(AND(BX$7&gt;=$E17,BX$7&lt;=$F17),1,"")</x:f>
      </x:c>
      <x:c r="BY17" s="315" t="str">
        <x:f>IF(AND(BY$7&gt;=$E17,BY$7&lt;=$F17),1,"")</x:f>
      </x:c>
      <x:c r="BZ17" s="315" t="str">
        <x:f>IF(AND(BZ$7&gt;=$E17,BZ$7&lt;=$F17),1,"")</x:f>
      </x:c>
      <x:c r="CA17" s="310" t="str">
        <x:f>IF(AND(CA$7&gt;=$E17,CA$7&lt;=$F17),1,"")</x:f>
      </x:c>
      <x:c r="CB17" s="310" t="str">
        <x:f>IF(AND(CB$7&gt;=$E17,CB$7&lt;=$F17),1,"")</x:f>
      </x:c>
      <x:c r="CC17" s="310" t="str">
        <x:f>IF(AND(CC$7&gt;=$E17,CC$7&lt;=$F17),1,"")</x:f>
      </x:c>
      <x:c r="CD17" s="310" t="str">
        <x:f>IF(AND(CD$7&gt;=$E17,CD$7&lt;=$F17),1,"")</x:f>
      </x:c>
      <x:c r="CE17" s="310" t="str">
        <x:f>IF(AND(CE$7&gt;=$E17,CE$7&lt;=$F17),1,"")</x:f>
      </x:c>
      <x:c r="CF17" s="315" t="str">
        <x:f>IF(AND(CF$7&gt;=$E17,CF$7&lt;=$F17),1,"")</x:f>
      </x:c>
      <x:c r="CG17" s="315" t="str">
        <x:f>IF(AND(CG$7&gt;=$E17,CG$7&lt;=$F17),1,"")</x:f>
      </x:c>
      <x:c r="CH17" s="315" t="str">
        <x:f>IF(AND(CH$7&gt;=$E17,CH$7&lt;=$F17),1,"")</x:f>
      </x:c>
      <x:c r="CI17" s="315" t="str">
        <x:f>IF(AND(CI$7&gt;=$E17,CI$7&lt;=$F17),1,"")</x:f>
      </x:c>
      <x:c r="CJ17" s="315" t="str">
        <x:f>IF(AND(CJ$7&gt;=$E17,CJ$7&lt;=$F17),1,"")</x:f>
      </x:c>
      <x:c r="CK17" s="312" t="str">
        <x:f>IF(AND(CK$7&gt;=$E17,CK$7&lt;=$F17),1,"")</x:f>
      </x:c>
      <x:c r="CL17" s="310" t="str">
        <x:f>IF(AND(CL$7&gt;=$E17,CL$7&lt;=$F17),1,"")</x:f>
      </x:c>
      <x:c r="CM17" s="310" t="str">
        <x:f>IF(AND(CM$7&gt;=$E17,CM$7&lt;=$F17),1,"")</x:f>
      </x:c>
      <x:c r="CN17" s="310" t="str">
        <x:f>IF(AND(CN$7&gt;=$E17,CN$7&lt;=$F17),1,"")</x:f>
      </x:c>
      <x:c r="CO17" s="310" t="str">
        <x:f>IF(AND(CO$7&gt;=$E17,CO$7&lt;=$F17),1,"")</x:f>
      </x:c>
      <x:c r="CP17" s="20"/>
    </x:row>
    <x:row r="18" ht="20" customHeight="1">
      <x:c r="B18" s="41" t="str">
        <x:v>2</x:v>
      </x:c>
      <x:c r="C18" s="342" t="str">
        <x:v>FASE 2 — DISEÑO Y ARQUITECTURA</x:v>
      </x:c>
      <x:c r="D18" s="348" t="str">
        <x:v>Equipo CAPSTONE</x:v>
      </x:c>
      <x:c r="E18" s="230" t="n">
        <x:v>46258</x:v>
      </x:c>
      <x:c r="F18" s="231" t="n">
        <x:v>46259</x:v>
      </x:c>
      <x:c r="G18" s="48" t="n">
        <x:f t="shared" si="0">IF(OR(E18="",F18=""),"",NETWORKDAYS(E18,F18))</x:f>
        <x:v>2</x:v>
      </x:c>
      <x:c r="H18" s="244" t="n">
        <x:v>1</x:v>
      </x:c>
      <x:c r="I18" s="306" t="str">
        <x:f>IF(AND(I$7&gt;=$E18,I$7&lt;=$F18),1,"")</x:f>
      </x:c>
      <x:c r="J18" s="307" t="str">
        <x:f>IF(AND(J$7&gt;=$E18,J$7&lt;=$F18),1,"")</x:f>
      </x:c>
      <x:c r="K18" s="307" t="str">
        <x:f>IF(AND(K$7&gt;=$E18,K$7&lt;=$F18),1,"")</x:f>
      </x:c>
      <x:c r="L18" s="307" t="str">
        <x:f>IF(AND(L$7&gt;=$E18,L$7&lt;=$F18),1,"")</x:f>
      </x:c>
      <x:c r="M18" s="307" t="str">
        <x:f>IF(AND(M$7&gt;=$E18,M$7&lt;=$F18),1,"")</x:f>
      </x:c>
      <x:c r="N18" s="307" t="str">
        <x:f>IF(AND(N$7&gt;=$E18,N$7&lt;=$F18),1,"")</x:f>
      </x:c>
      <x:c r="O18" s="307" t="str">
        <x:f>IF(AND(O$7&gt;=$E18,O$7&lt;=$F18),1,"")</x:f>
      </x:c>
      <x:c r="P18" s="307" t="str">
        <x:f>IF(AND(P$7&gt;=$E18,P$7&lt;=$F18),1,"")</x:f>
      </x:c>
      <x:c r="Q18" s="307" t="str">
        <x:f>IF(AND(Q$7&gt;=$E18,Q$7&lt;=$F18),1,"")</x:f>
      </x:c>
      <x:c r="R18" s="307" t="str">
        <x:f>IF(AND(R$7&gt;=$E18,R$7&lt;=$F18),1,"")</x:f>
      </x:c>
      <x:c r="S18" s="307" t="n">
        <x:f>IF(AND(S$7&gt;=$E18,S$7&lt;=$F18),1,"")</x:f>
        <x:v>1</x:v>
      </x:c>
      <x:c r="T18" s="307" t="n">
        <x:f>IF(AND(T$7&gt;=$E18,T$7&lt;=$F18),1,"")</x:f>
        <x:v>1</x:v>
      </x:c>
      <x:c r="U18" s="307" t="str">
        <x:f>IF(AND(U$7&gt;=$E18,U$7&lt;=$F18),1,"")</x:f>
      </x:c>
      <x:c r="V18" s="307" t="str">
        <x:f>IF(AND(V$7&gt;=$E18,V$7&lt;=$F18),1,"")</x:f>
      </x:c>
      <x:c r="W18" s="307" t="str">
        <x:f>IF(AND(W$7&gt;=$E18,W$7&lt;=$F18),1,"")</x:f>
      </x:c>
      <x:c r="X18" s="307" t="str">
        <x:f>IF(AND(X$7&gt;=$E18,X$7&lt;=$F18),1,"")</x:f>
      </x:c>
      <x:c r="Y18" s="307" t="str">
        <x:f>IF(AND(Y$7&gt;=$E18,Y$7&lt;=$F18),1,"")</x:f>
      </x:c>
      <x:c r="Z18" s="307" t="str">
        <x:f>IF(AND(Z$7&gt;=$E18,Z$7&lt;=$F18),1,"")</x:f>
      </x:c>
      <x:c r="AA18" s="307" t="str">
        <x:f>IF(AND(AA$7&gt;=$E18,AA$7&lt;=$F18),1,"")</x:f>
      </x:c>
      <x:c r="AB18" s="307" t="str">
        <x:f>IF(AND(AB$7&gt;=$E18,AB$7&lt;=$F18),1,"")</x:f>
      </x:c>
      <x:c r="AC18" s="308" t="str">
        <x:f>IF(AND(AC$7&gt;=$E18,AC$7&lt;=$F18),1,"")</x:f>
      </x:c>
      <x:c r="AD18" s="307" t="str">
        <x:f>IF(AND(AD$7&gt;=$E18,AD$7&lt;=$F18),1,"")</x:f>
      </x:c>
      <x:c r="AE18" s="307" t="str">
        <x:f>IF(AND(AE$7&gt;=$E18,AE$7&lt;=$F18),1,"")</x:f>
      </x:c>
      <x:c r="AF18" s="307" t="str">
        <x:f>IF(AND(AF$7&gt;=$E18,AF$7&lt;=$F18),1,"")</x:f>
      </x:c>
      <x:c r="AG18" s="307" t="str">
        <x:f>IF(AND(AG$7&gt;=$E18,AG$7&lt;=$F18),1,"")</x:f>
      </x:c>
      <x:c r="AH18" s="307" t="str">
        <x:f>IF(AND(AH$7&gt;=$E18,AH$7&lt;=$F18),1,"")</x:f>
      </x:c>
      <x:c r="AI18" s="307" t="str">
        <x:f>IF(AND(AI$7&gt;=$E18,AI$7&lt;=$F18),1,"")</x:f>
      </x:c>
      <x:c r="AJ18" s="307" t="str">
        <x:f>IF(AND(AJ$7&gt;=$E18,AJ$7&lt;=$F18),1,"")</x:f>
      </x:c>
      <x:c r="AK18" s="307" t="str">
        <x:f>IF(AND(AK$7&gt;=$E18,AK$7&lt;=$F18),1,"")</x:f>
      </x:c>
      <x:c r="AL18" s="307" t="str">
        <x:f>IF(AND(AL$7&gt;=$E18,AL$7&lt;=$F18),1,"")</x:f>
      </x:c>
      <x:c r="AM18" s="307" t="str">
        <x:f>IF(AND(AM$7&gt;=$E18,AM$7&lt;=$F18),1,"")</x:f>
      </x:c>
      <x:c r="AN18" s="307" t="str">
        <x:f>IF(AND(AN$7&gt;=$E18,AN$7&lt;=$F18),1,"")</x:f>
      </x:c>
      <x:c r="AO18" s="307" t="str">
        <x:f>IF(AND(AO$7&gt;=$E18,AO$7&lt;=$F18),1,"")</x:f>
      </x:c>
      <x:c r="AP18" s="307" t="str">
        <x:f>IF(AND(AP$7&gt;=$E18,AP$7&lt;=$F18),1,"")</x:f>
      </x:c>
      <x:c r="AQ18" s="307" t="str">
        <x:f>IF(AND(AQ$7&gt;=$E18,AQ$7&lt;=$F18),1,"")</x:f>
      </x:c>
      <x:c r="AR18" s="307" t="str">
        <x:f>IF(AND(AR$7&gt;=$E18,AR$7&lt;=$F18),1,"")</x:f>
      </x:c>
      <x:c r="AS18" s="307" t="str">
        <x:f>IF(AND(AS$7&gt;=$E18,AS$7&lt;=$F18),1,"")</x:f>
      </x:c>
      <x:c r="AT18" s="307" t="str">
        <x:f>IF(AND(AT$7&gt;=$E18,AT$7&lt;=$F18),1,"")</x:f>
      </x:c>
      <x:c r="AU18" s="307" t="str">
        <x:f>IF(AND(AU$7&gt;=$E18,AU$7&lt;=$F18),1,"")</x:f>
      </x:c>
      <x:c r="AV18" s="307" t="str">
        <x:f>IF(AND(AV$7&gt;=$E18,AV$7&lt;=$F18),1,"")</x:f>
      </x:c>
      <x:c r="AW18" s="308" t="str">
        <x:f>IF(AND(AW$7&gt;=$E18,AW$7&lt;=$F18),1,"")</x:f>
      </x:c>
      <x:c r="AX18" s="307" t="str">
        <x:f>IF(AND(AX$7&gt;=$E18,AX$7&lt;=$F18),1,"")</x:f>
      </x:c>
      <x:c r="AY18" s="307" t="str">
        <x:f>IF(AND(AY$7&gt;=$E18,AY$7&lt;=$F18),1,"")</x:f>
      </x:c>
      <x:c r="AZ18" s="307" t="str">
        <x:f>IF(AND(AZ$7&gt;=$E18,AZ$7&lt;=$F18),1,"")</x:f>
      </x:c>
      <x:c r="BA18" s="307" t="str">
        <x:f>IF(AND(BA$7&gt;=$E18,BA$7&lt;=$F18),1,"")</x:f>
      </x:c>
      <x:c r="BB18" s="307" t="str">
        <x:f>IF(AND(BB$7&gt;=$E18,BB$7&lt;=$F18),1,"")</x:f>
      </x:c>
      <x:c r="BC18" s="307" t="str">
        <x:f>IF(AND(BC$7&gt;=$E18,BC$7&lt;=$F18),1,"")</x:f>
      </x:c>
      <x:c r="BD18" s="307" t="str">
        <x:f>IF(AND(BD$7&gt;=$E18,BD$7&lt;=$F18),1,"")</x:f>
      </x:c>
      <x:c r="BE18" s="307" t="str">
        <x:f>IF(AND(BE$7&gt;=$E18,BE$7&lt;=$F18),1,"")</x:f>
      </x:c>
      <x:c r="BF18" s="307" t="str">
        <x:f>IF(AND(BF$7&gt;=$E18,BF$7&lt;=$F18),1,"")</x:f>
      </x:c>
      <x:c r="BG18" s="307" t="str">
        <x:f>IF(AND(BG$7&gt;=$E18,BG$7&lt;=$F18),1,"")</x:f>
      </x:c>
      <x:c r="BH18" s="307" t="str">
        <x:f>IF(AND(BH$7&gt;=$E18,BH$7&lt;=$F18),1,"")</x:f>
      </x:c>
      <x:c r="BI18" s="307" t="str">
        <x:f>IF(AND(BI$7&gt;=$E18,BI$7&lt;=$F18),1,"")</x:f>
      </x:c>
      <x:c r="BJ18" s="307" t="str">
        <x:f>IF(AND(BJ$7&gt;=$E18,BJ$7&lt;=$F18),1,"")</x:f>
      </x:c>
      <x:c r="BK18" s="307" t="str">
        <x:f>IF(AND(BK$7&gt;=$E18,BK$7&lt;=$F18),1,"")</x:f>
      </x:c>
      <x:c r="BL18" s="307" t="str">
        <x:f>IF(AND(BL$7&gt;=$E18,BL$7&lt;=$F18),1,"")</x:f>
      </x:c>
      <x:c r="BM18" s="307" t="str">
        <x:f>IF(AND(BM$7&gt;=$E18,BM$7&lt;=$F18),1,"")</x:f>
      </x:c>
      <x:c r="BN18" s="307" t="str">
        <x:f>IF(AND(BN$7&gt;=$E18,BN$7&lt;=$F18),1,"")</x:f>
      </x:c>
      <x:c r="BO18" s="307" t="str">
        <x:f>IF(AND(BO$7&gt;=$E18,BO$7&lt;=$F18),1,"")</x:f>
      </x:c>
      <x:c r="BP18" s="307" t="str">
        <x:f>IF(AND(BP$7&gt;=$E18,BP$7&lt;=$F18),1,"")</x:f>
      </x:c>
      <x:c r="BQ18" s="308" t="str">
        <x:f>IF(AND(BQ$7&gt;=$E18,BQ$7&lt;=$F18),1,"")</x:f>
      </x:c>
      <x:c r="BR18" s="307" t="str">
        <x:f>IF(AND(BR$7&gt;=$E18,BR$7&lt;=$F18),1,"")</x:f>
      </x:c>
      <x:c r="BS18" s="307" t="str">
        <x:f>IF(AND(BS$7&gt;=$E18,BS$7&lt;=$F18),1,"")</x:f>
      </x:c>
      <x:c r="BT18" s="307" t="str">
        <x:f>IF(AND(BT$7&gt;=$E18,BT$7&lt;=$F18),1,"")</x:f>
      </x:c>
      <x:c r="BU18" s="307" t="str">
        <x:f>IF(AND(BU$7&gt;=$E18,BU$7&lt;=$F18),1,"")</x:f>
      </x:c>
      <x:c r="BV18" s="307" t="str">
        <x:f>IF(AND(BV$7&gt;=$E18,BV$7&lt;=$F18),1,"")</x:f>
      </x:c>
      <x:c r="BW18" s="307" t="str">
        <x:f>IF(AND(BW$7&gt;=$E18,BW$7&lt;=$F18),1,"")</x:f>
      </x:c>
      <x:c r="BX18" s="307" t="str">
        <x:f>IF(AND(BX$7&gt;=$E18,BX$7&lt;=$F18),1,"")</x:f>
      </x:c>
      <x:c r="BY18" s="307" t="str">
        <x:f>IF(AND(BY$7&gt;=$E18,BY$7&lt;=$F18),1,"")</x:f>
      </x:c>
      <x:c r="BZ18" s="307" t="str">
        <x:f>IF(AND(BZ$7&gt;=$E18,BZ$7&lt;=$F18),1,"")</x:f>
      </x:c>
      <x:c r="CA18" s="307" t="str">
        <x:f>IF(AND(CA$7&gt;=$E18,CA$7&lt;=$F18),1,"")</x:f>
      </x:c>
      <x:c r="CB18" s="307" t="str">
        <x:f>IF(AND(CB$7&gt;=$E18,CB$7&lt;=$F18),1,"")</x:f>
      </x:c>
      <x:c r="CC18" s="307" t="str">
        <x:f>IF(AND(CC$7&gt;=$E18,CC$7&lt;=$F18),1,"")</x:f>
      </x:c>
      <x:c r="CD18" s="307" t="str">
        <x:f>IF(AND(CD$7&gt;=$E18,CD$7&lt;=$F18),1,"")</x:f>
      </x:c>
      <x:c r="CE18" s="307" t="str">
        <x:f>IF(AND(CE$7&gt;=$E18,CE$7&lt;=$F18),1,"")</x:f>
      </x:c>
      <x:c r="CF18" s="307" t="str">
        <x:f>IF(AND(CF$7&gt;=$E18,CF$7&lt;=$F18),1,"")</x:f>
      </x:c>
      <x:c r="CG18" s="307" t="str">
        <x:f>IF(AND(CG$7&gt;=$E18,CG$7&lt;=$F18),1,"")</x:f>
      </x:c>
      <x:c r="CH18" s="307" t="str">
        <x:f>IF(AND(CH$7&gt;=$E18,CH$7&lt;=$F18),1,"")</x:f>
      </x:c>
      <x:c r="CI18" s="307" t="str">
        <x:f>IF(AND(CI$7&gt;=$E18,CI$7&lt;=$F18),1,"")</x:f>
      </x:c>
      <x:c r="CJ18" s="307" t="str">
        <x:f>IF(AND(CJ$7&gt;=$E18,CJ$7&lt;=$F18),1,"")</x:f>
      </x:c>
      <x:c r="CK18" s="308" t="str">
        <x:f>IF(AND(CK$7&gt;=$E18,CK$7&lt;=$F18),1,"")</x:f>
      </x:c>
      <x:c r="CL18" s="307" t="str">
        <x:f>IF(AND(CL$7&gt;=$E18,CL$7&lt;=$F18),1,"")</x:f>
      </x:c>
      <x:c r="CM18" s="307" t="str">
        <x:f>IF(AND(CM$7&gt;=$E18,CM$7&lt;=$F18),1,"")</x:f>
      </x:c>
      <x:c r="CN18" s="307" t="str">
        <x:f>IF(AND(CN$7&gt;=$E18,CN$7&lt;=$F18),1,"")</x:f>
      </x:c>
      <x:c r="CO18" s="307" t="str">
        <x:f>IF(AND(CO$7&gt;=$E18,CO$7&lt;=$F18),1,"")</x:f>
      </x:c>
      <x:c r="CP18" s="18"/>
    </x:row>
    <x:row r="19" ht="20" customHeight="1">
      <x:c r="B19" s="41" t="str">
        <x:v>2.1</x:v>
      </x:c>
      <x:c r="C19" s="341" t="str">
        <x:v>Diseñar módulos y arquitectura lógica</x:v>
      </x:c>
      <x:c r="D19" s="347" t="str">
        <x:v>Equipo CAPSTONE</x:v>
      </x:c>
      <x:c r="E19" s="228" t="n">
        <x:v>46258</x:v>
      </x:c>
      <x:c r="F19" s="229" t="n">
        <x:v>46258</x:v>
      </x:c>
      <x:c r="G19" s="75" t="n">
        <x:f t="shared" si="0">IF(OR(E19="",F19=""),"",NETWORKDAYS(E19,F19))</x:f>
        <x:v>1</x:v>
      </x:c>
      <x:c r="H19" s="243" t="n">
        <x:v>1</x:v>
      </x:c>
      <x:c r="I19" s="309" t="str">
        <x:f>IF(AND(I$7&gt;=$E19,I$7&lt;=$F19),1,"")</x:f>
      </x:c>
      <x:c r="J19" s="310" t="str">
        <x:f>IF(AND(J$7&gt;=$E19,J$7&lt;=$F19),1,"")</x:f>
      </x:c>
      <x:c r="K19" s="310" t="str">
        <x:f>IF(AND(K$7&gt;=$E19,K$7&lt;=$F19),1,"")</x:f>
      </x:c>
      <x:c r="L19" s="310" t="str">
        <x:f>IF(AND(L$7&gt;=$E19,L$7&lt;=$F19),1,"")</x:f>
      </x:c>
      <x:c r="M19" s="310" t="str">
        <x:f>IF(AND(M$7&gt;=$E19,M$7&lt;=$F19),1,"")</x:f>
      </x:c>
      <x:c r="N19" s="311" t="str">
        <x:f>IF(AND(N$7&gt;=$E19,N$7&lt;=$F19),1,"")</x:f>
      </x:c>
      <x:c r="O19" s="311" t="str">
        <x:f>IF(AND(O$7&gt;=$E19,O$7&lt;=$F19),1,"")</x:f>
      </x:c>
      <x:c r="P19" s="311" t="str">
        <x:f>IF(AND(P$7&gt;=$E19,P$7&lt;=$F19),1,"")</x:f>
      </x:c>
      <x:c r="Q19" s="311" t="str">
        <x:f>IF(AND(Q$7&gt;=$E19,Q$7&lt;=$F19),1,"")</x:f>
      </x:c>
      <x:c r="R19" s="311" t="str">
        <x:f>IF(AND(R$7&gt;=$E19,R$7&lt;=$F19),1,"")</x:f>
      </x:c>
      <x:c r="S19" s="310" t="n">
        <x:f>IF(AND(S$7&gt;=$E19,S$7&lt;=$F19),1,"")</x:f>
        <x:v>1</x:v>
      </x:c>
      <x:c r="T19" s="310" t="str">
        <x:f>IF(AND(T$7&gt;=$E19,T$7&lt;=$F19),1,"")</x:f>
      </x:c>
      <x:c r="U19" s="310" t="str">
        <x:f>IF(AND(U$7&gt;=$E19,U$7&lt;=$F19),1,"")</x:f>
      </x:c>
      <x:c r="V19" s="310" t="str">
        <x:f>IF(AND(V$7&gt;=$E19,V$7&lt;=$F19),1,"")</x:f>
      </x:c>
      <x:c r="W19" s="310" t="str">
        <x:f>IF(AND(W$7&gt;=$E19,W$7&lt;=$F19),1,"")</x:f>
      </x:c>
      <x:c r="X19" s="311" t="str">
        <x:f>IF(AND(X$7&gt;=$E19,X$7&lt;=$F19),1,"")</x:f>
      </x:c>
      <x:c r="Y19" s="311" t="str">
        <x:f>IF(AND(Y$7&gt;=$E19,Y$7&lt;=$F19),1,"")</x:f>
      </x:c>
      <x:c r="Z19" s="311" t="str">
        <x:f>IF(AND(Z$7&gt;=$E19,Z$7&lt;=$F19),1,"")</x:f>
      </x:c>
      <x:c r="AA19" s="311" t="str">
        <x:f>IF(AND(AA$7&gt;=$E19,AA$7&lt;=$F19),1,"")</x:f>
      </x:c>
      <x:c r="AB19" s="311" t="str">
        <x:f>IF(AND(AB$7&gt;=$E19,AB$7&lt;=$F19),1,"")</x:f>
      </x:c>
      <x:c r="AC19" s="312" t="str">
        <x:f>IF(AND(AC$7&gt;=$E19,AC$7&lt;=$F19),1,"")</x:f>
      </x:c>
      <x:c r="AD19" s="310" t="str">
        <x:f>IF(AND(AD$7&gt;=$E19,AD$7&lt;=$F19),1,"")</x:f>
      </x:c>
      <x:c r="AE19" s="310" t="str">
        <x:f>IF(AND(AE$7&gt;=$E19,AE$7&lt;=$F19),1,"")</x:f>
      </x:c>
      <x:c r="AF19" s="310" t="str">
        <x:f>IF(AND(AF$7&gt;=$E19,AF$7&lt;=$F19),1,"")</x:f>
      </x:c>
      <x:c r="AG19" s="310" t="str">
        <x:f>IF(AND(AG$7&gt;=$E19,AG$7&lt;=$F19),1,"")</x:f>
      </x:c>
      <x:c r="AH19" s="313" t="str">
        <x:f>IF(AND(AH$7&gt;=$E19,AH$7&lt;=$F19),1,"")</x:f>
      </x:c>
      <x:c r="AI19" s="313" t="str">
        <x:f>IF(AND(AI$7&gt;=$E19,AI$7&lt;=$F19),1,"")</x:f>
      </x:c>
      <x:c r="AJ19" s="313" t="str">
        <x:f>IF(AND(AJ$7&gt;=$E19,AJ$7&lt;=$F19),1,"")</x:f>
      </x:c>
      <x:c r="AK19" s="313" t="str">
        <x:f>IF(AND(AK$7&gt;=$E19,AK$7&lt;=$F19),1,"")</x:f>
      </x:c>
      <x:c r="AL19" s="313" t="str">
        <x:f>IF(AND(AL$7&gt;=$E19,AL$7&lt;=$F19),1,"")</x:f>
      </x:c>
      <x:c r="AM19" s="310" t="str">
        <x:f>IF(AND(AM$7&gt;=$E19,AM$7&lt;=$F19),1,"")</x:f>
      </x:c>
      <x:c r="AN19" s="310" t="str">
        <x:f>IF(AND(AN$7&gt;=$E19,AN$7&lt;=$F19),1,"")</x:f>
      </x:c>
      <x:c r="AO19" s="310" t="str">
        <x:f>IF(AND(AO$7&gt;=$E19,AO$7&lt;=$F19),1,"")</x:f>
      </x:c>
      <x:c r="AP19" s="310" t="str">
        <x:f>IF(AND(AP$7&gt;=$E19,AP$7&lt;=$F19),1,"")</x:f>
      </x:c>
      <x:c r="AQ19" s="310" t="str">
        <x:f>IF(AND(AQ$7&gt;=$E19,AQ$7&lt;=$F19),1,"")</x:f>
      </x:c>
      <x:c r="AR19" s="313" t="str">
        <x:f>IF(AND(AR$7&gt;=$E19,AR$7&lt;=$F19),1,"")</x:f>
      </x:c>
      <x:c r="AS19" s="313" t="str">
        <x:f>IF(AND(AS$7&gt;=$E19,AS$7&lt;=$F19),1,"")</x:f>
      </x:c>
      <x:c r="AT19" s="313" t="str">
        <x:f>IF(AND(AT$7&gt;=$E19,AT$7&lt;=$F19),1,"")</x:f>
      </x:c>
      <x:c r="AU19" s="313" t="str">
        <x:f>IF(AND(AU$7&gt;=$E19,AU$7&lt;=$F19),1,"")</x:f>
      </x:c>
      <x:c r="AV19" s="313" t="str">
        <x:f>IF(AND(AV$7&gt;=$E19,AV$7&lt;=$F19),1,"")</x:f>
      </x:c>
      <x:c r="AW19" s="312" t="str">
        <x:f>IF(AND(AW$7&gt;=$E19,AW$7&lt;=$F19),1,"")</x:f>
      </x:c>
      <x:c r="AX19" s="310" t="str">
        <x:f>IF(AND(AX$7&gt;=$E19,AX$7&lt;=$F19),1,"")</x:f>
      </x:c>
      <x:c r="AY19" s="310" t="str">
        <x:f>IF(AND(AY$7&gt;=$E19,AY$7&lt;=$F19),1,"")</x:f>
      </x:c>
      <x:c r="AZ19" s="310" t="str">
        <x:f>IF(AND(AZ$7&gt;=$E19,AZ$7&lt;=$F19),1,"")</x:f>
      </x:c>
      <x:c r="BA19" s="310" t="str">
        <x:f>IF(AND(BA$7&gt;=$E19,BA$7&lt;=$F19),1,"")</x:f>
      </x:c>
      <x:c r="BB19" s="314" t="str">
        <x:f>IF(AND(BB$7&gt;=$E19,BB$7&lt;=$F19),1,"")</x:f>
      </x:c>
      <x:c r="BC19" s="314" t="str">
        <x:f>IF(AND(BC$7&gt;=$E19,BC$7&lt;=$F19),1,"")</x:f>
      </x:c>
      <x:c r="BD19" s="314" t="str">
        <x:f>IF(AND(BD$7&gt;=$E19,BD$7&lt;=$F19),1,"")</x:f>
      </x:c>
      <x:c r="BE19" s="314" t="str">
        <x:f>IF(AND(BE$7&gt;=$E19,BE$7&lt;=$F19),1,"")</x:f>
      </x:c>
      <x:c r="BF19" s="314" t="str">
        <x:f>IF(AND(BF$7&gt;=$E19,BF$7&lt;=$F19),1,"")</x:f>
      </x:c>
      <x:c r="BG19" s="310" t="str">
        <x:f>IF(AND(BG$7&gt;=$E19,BG$7&lt;=$F19),1,"")</x:f>
      </x:c>
      <x:c r="BH19" s="310" t="str">
        <x:f>IF(AND(BH$7&gt;=$E19,BH$7&lt;=$F19),1,"")</x:f>
      </x:c>
      <x:c r="BI19" s="310" t="str">
        <x:f>IF(AND(BI$7&gt;=$E19,BI$7&lt;=$F19),1,"")</x:f>
      </x:c>
      <x:c r="BJ19" s="310" t="str">
        <x:f>IF(AND(BJ$7&gt;=$E19,BJ$7&lt;=$F19),1,"")</x:f>
      </x:c>
      <x:c r="BK19" s="310" t="str">
        <x:f>IF(AND(BK$7&gt;=$E19,BK$7&lt;=$F19),1,"")</x:f>
      </x:c>
      <x:c r="BL19" s="314" t="str">
        <x:f>IF(AND(BL$7&gt;=$E19,BL$7&lt;=$F19),1,"")</x:f>
      </x:c>
      <x:c r="BM19" s="314" t="str">
        <x:f>IF(AND(BM$7&gt;=$E19,BM$7&lt;=$F19),1,"")</x:f>
      </x:c>
      <x:c r="BN19" s="314" t="str">
        <x:f>IF(AND(BN$7&gt;=$E19,BN$7&lt;=$F19),1,"")</x:f>
      </x:c>
      <x:c r="BO19" s="314" t="str">
        <x:f>IF(AND(BO$7&gt;=$E19,BO$7&lt;=$F19),1,"")</x:f>
      </x:c>
      <x:c r="BP19" s="314" t="str">
        <x:f>IF(AND(BP$7&gt;=$E19,BP$7&lt;=$F19),1,"")</x:f>
      </x:c>
      <x:c r="BQ19" s="312" t="str">
        <x:f>IF(AND(BQ$7&gt;=$E19,BQ$7&lt;=$F19),1,"")</x:f>
      </x:c>
      <x:c r="BR19" s="310" t="str">
        <x:f>IF(AND(BR$7&gt;=$E19,BR$7&lt;=$F19),1,"")</x:f>
      </x:c>
      <x:c r="BS19" s="310" t="str">
        <x:f>IF(AND(BS$7&gt;=$E19,BS$7&lt;=$F19),1,"")</x:f>
      </x:c>
      <x:c r="BT19" s="310" t="str">
        <x:f>IF(AND(BT$7&gt;=$E19,BT$7&lt;=$F19),1,"")</x:f>
      </x:c>
      <x:c r="BU19" s="310" t="str">
        <x:f>IF(AND(BU$7&gt;=$E19,BU$7&lt;=$F19),1,"")</x:f>
      </x:c>
      <x:c r="BV19" s="315" t="str">
        <x:f>IF(AND(BV$7&gt;=$E19,BV$7&lt;=$F19),1,"")</x:f>
      </x:c>
      <x:c r="BW19" s="315" t="str">
        <x:f>IF(AND(BW$7&gt;=$E19,BW$7&lt;=$F19),1,"")</x:f>
      </x:c>
      <x:c r="BX19" s="315" t="str">
        <x:f>IF(AND(BX$7&gt;=$E19,BX$7&lt;=$F19),1,"")</x:f>
      </x:c>
      <x:c r="BY19" s="315" t="str">
        <x:f>IF(AND(BY$7&gt;=$E19,BY$7&lt;=$F19),1,"")</x:f>
      </x:c>
      <x:c r="BZ19" s="315" t="str">
        <x:f>IF(AND(BZ$7&gt;=$E19,BZ$7&lt;=$F19),1,"")</x:f>
      </x:c>
      <x:c r="CA19" s="310" t="str">
        <x:f>IF(AND(CA$7&gt;=$E19,CA$7&lt;=$F19),1,"")</x:f>
      </x:c>
      <x:c r="CB19" s="310" t="str">
        <x:f>IF(AND(CB$7&gt;=$E19,CB$7&lt;=$F19),1,"")</x:f>
      </x:c>
      <x:c r="CC19" s="310" t="str">
        <x:f>IF(AND(CC$7&gt;=$E19,CC$7&lt;=$F19),1,"")</x:f>
      </x:c>
      <x:c r="CD19" s="310" t="str">
        <x:f>IF(AND(CD$7&gt;=$E19,CD$7&lt;=$F19),1,"")</x:f>
      </x:c>
      <x:c r="CE19" s="310" t="str">
        <x:f>IF(AND(CE$7&gt;=$E19,CE$7&lt;=$F19),1,"")</x:f>
      </x:c>
      <x:c r="CF19" s="315" t="str">
        <x:f>IF(AND(CF$7&gt;=$E19,CF$7&lt;=$F19),1,"")</x:f>
      </x:c>
      <x:c r="CG19" s="315" t="str">
        <x:f>IF(AND(CG$7&gt;=$E19,CG$7&lt;=$F19),1,"")</x:f>
      </x:c>
      <x:c r="CH19" s="315" t="str">
        <x:f>IF(AND(CH$7&gt;=$E19,CH$7&lt;=$F19),1,"")</x:f>
      </x:c>
      <x:c r="CI19" s="315" t="str">
        <x:f>IF(AND(CI$7&gt;=$E19,CI$7&lt;=$F19),1,"")</x:f>
      </x:c>
      <x:c r="CJ19" s="315" t="str">
        <x:f>IF(AND(CJ$7&gt;=$E19,CJ$7&lt;=$F19),1,"")</x:f>
      </x:c>
      <x:c r="CK19" s="312" t="str">
        <x:f>IF(AND(CK$7&gt;=$E19,CK$7&lt;=$F19),1,"")</x:f>
      </x:c>
      <x:c r="CL19" s="310" t="str">
        <x:f>IF(AND(CL$7&gt;=$E19,CL$7&lt;=$F19),1,"")</x:f>
      </x:c>
      <x:c r="CM19" s="310" t="str">
        <x:f>IF(AND(CM$7&gt;=$E19,CM$7&lt;=$F19),1,"")</x:f>
      </x:c>
      <x:c r="CN19" s="310" t="str">
        <x:f>IF(AND(CN$7&gt;=$E19,CN$7&lt;=$F19),1,"")</x:f>
      </x:c>
      <x:c r="CO19" s="310" t="str">
        <x:f>IF(AND(CO$7&gt;=$E19,CO$7&lt;=$F19),1,"")</x:f>
      </x:c>
      <x:c r="CP19" s="20"/>
    </x:row>
    <x:row r="20" ht="20" customHeight="1">
      <x:c r="B20" s="41" t="str">
        <x:v>2.2</x:v>
      </x:c>
      <x:c r="C20" s="341" t="str">
        <x:v>Diseñar modelo conceptual y lógico de datos</x:v>
      </x:c>
      <x:c r="D20" s="347" t="str">
        <x:v>Equipo CAPSTONE</x:v>
      </x:c>
      <x:c r="E20" s="228" t="n">
        <x:v>46258</x:v>
      </x:c>
      <x:c r="F20" s="229" t="n">
        <x:v>46259</x:v>
      </x:c>
      <x:c r="G20" s="75" t="n">
        <x:f t="shared" si="0">IF(OR(E20="",F20=""),"",NETWORKDAYS(E20,F20))</x:f>
        <x:v>2</x:v>
      </x:c>
      <x:c r="H20" s="243" t="n">
        <x:v>1</x:v>
      </x:c>
      <x:c r="I20" s="309" t="str">
        <x:f>IF(AND(I$7&gt;=$E20,I$7&lt;=$F20),1,"")</x:f>
      </x:c>
      <x:c r="J20" s="310" t="str">
        <x:f>IF(AND(J$7&gt;=$E20,J$7&lt;=$F20),1,"")</x:f>
      </x:c>
      <x:c r="K20" s="310" t="str">
        <x:f>IF(AND(K$7&gt;=$E20,K$7&lt;=$F20),1,"")</x:f>
      </x:c>
      <x:c r="L20" s="310" t="str">
        <x:f>IF(AND(L$7&gt;=$E20,L$7&lt;=$F20),1,"")</x:f>
      </x:c>
      <x:c r="M20" s="310" t="str">
        <x:f>IF(AND(M$7&gt;=$E20,M$7&lt;=$F20),1,"")</x:f>
      </x:c>
      <x:c r="N20" s="311" t="str">
        <x:f>IF(AND(N$7&gt;=$E20,N$7&lt;=$F20),1,"")</x:f>
      </x:c>
      <x:c r="O20" s="311" t="str">
        <x:f>IF(AND(O$7&gt;=$E20,O$7&lt;=$F20),1,"")</x:f>
      </x:c>
      <x:c r="P20" s="311" t="str">
        <x:f>IF(AND(P$7&gt;=$E20,P$7&lt;=$F20),1,"")</x:f>
      </x:c>
      <x:c r="Q20" s="311" t="str">
        <x:f>IF(AND(Q$7&gt;=$E20,Q$7&lt;=$F20),1,"")</x:f>
      </x:c>
      <x:c r="R20" s="311" t="str">
        <x:f>IF(AND(R$7&gt;=$E20,R$7&lt;=$F20),1,"")</x:f>
      </x:c>
      <x:c r="S20" s="310" t="n">
        <x:f>IF(AND(S$7&gt;=$E20,S$7&lt;=$F20),1,"")</x:f>
        <x:v>1</x:v>
      </x:c>
      <x:c r="T20" s="310" t="n">
        <x:f>IF(AND(T$7&gt;=$E20,T$7&lt;=$F20),1,"")</x:f>
        <x:v>1</x:v>
      </x:c>
      <x:c r="U20" s="310" t="str">
        <x:f>IF(AND(U$7&gt;=$E20,U$7&lt;=$F20),1,"")</x:f>
      </x:c>
      <x:c r="V20" s="310" t="str">
        <x:f>IF(AND(V$7&gt;=$E20,V$7&lt;=$F20),1,"")</x:f>
      </x:c>
      <x:c r="W20" s="310" t="str">
        <x:f>IF(AND(W$7&gt;=$E20,W$7&lt;=$F20),1,"")</x:f>
      </x:c>
      <x:c r="X20" s="311" t="str">
        <x:f>IF(AND(X$7&gt;=$E20,X$7&lt;=$F20),1,"")</x:f>
      </x:c>
      <x:c r="Y20" s="311" t="str">
        <x:f>IF(AND(Y$7&gt;=$E20,Y$7&lt;=$F20),1,"")</x:f>
      </x:c>
      <x:c r="Z20" s="311" t="str">
        <x:f>IF(AND(Z$7&gt;=$E20,Z$7&lt;=$F20),1,"")</x:f>
      </x:c>
      <x:c r="AA20" s="311" t="str">
        <x:f>IF(AND(AA$7&gt;=$E20,AA$7&lt;=$F20),1,"")</x:f>
      </x:c>
      <x:c r="AB20" s="311" t="str">
        <x:f>IF(AND(AB$7&gt;=$E20,AB$7&lt;=$F20),1,"")</x:f>
      </x:c>
      <x:c r="AC20" s="312" t="str">
        <x:f>IF(AND(AC$7&gt;=$E20,AC$7&lt;=$F20),1,"")</x:f>
      </x:c>
      <x:c r="AD20" s="310" t="str">
        <x:f>IF(AND(AD$7&gt;=$E20,AD$7&lt;=$F20),1,"")</x:f>
      </x:c>
      <x:c r="AE20" s="310" t="str">
        <x:f>IF(AND(AE$7&gt;=$E20,AE$7&lt;=$F20),1,"")</x:f>
      </x:c>
      <x:c r="AF20" s="310" t="str">
        <x:f>IF(AND(AF$7&gt;=$E20,AF$7&lt;=$F20),1,"")</x:f>
      </x:c>
      <x:c r="AG20" s="310" t="str">
        <x:f>IF(AND(AG$7&gt;=$E20,AG$7&lt;=$F20),1,"")</x:f>
      </x:c>
      <x:c r="AH20" s="313" t="str">
        <x:f>IF(AND(AH$7&gt;=$E20,AH$7&lt;=$F20),1,"")</x:f>
      </x:c>
      <x:c r="AI20" s="313" t="str">
        <x:f>IF(AND(AI$7&gt;=$E20,AI$7&lt;=$F20),1,"")</x:f>
      </x:c>
      <x:c r="AJ20" s="313" t="str">
        <x:f>IF(AND(AJ$7&gt;=$E20,AJ$7&lt;=$F20),1,"")</x:f>
      </x:c>
      <x:c r="AK20" s="313" t="str">
        <x:f>IF(AND(AK$7&gt;=$E20,AK$7&lt;=$F20),1,"")</x:f>
      </x:c>
      <x:c r="AL20" s="313" t="str">
        <x:f>IF(AND(AL$7&gt;=$E20,AL$7&lt;=$F20),1,"")</x:f>
      </x:c>
      <x:c r="AM20" s="310" t="str">
        <x:f>IF(AND(AM$7&gt;=$E20,AM$7&lt;=$F20),1,"")</x:f>
      </x:c>
      <x:c r="AN20" s="310" t="str">
        <x:f>IF(AND(AN$7&gt;=$E20,AN$7&lt;=$F20),1,"")</x:f>
      </x:c>
      <x:c r="AO20" s="310" t="str">
        <x:f>IF(AND(AO$7&gt;=$E20,AO$7&lt;=$F20),1,"")</x:f>
      </x:c>
      <x:c r="AP20" s="310" t="str">
        <x:f>IF(AND(AP$7&gt;=$E20,AP$7&lt;=$F20),1,"")</x:f>
      </x:c>
      <x:c r="AQ20" s="310" t="str">
        <x:f>IF(AND(AQ$7&gt;=$E20,AQ$7&lt;=$F20),1,"")</x:f>
      </x:c>
      <x:c r="AR20" s="313" t="str">
        <x:f>IF(AND(AR$7&gt;=$E20,AR$7&lt;=$F20),1,"")</x:f>
      </x:c>
      <x:c r="AS20" s="313" t="str">
        <x:f>IF(AND(AS$7&gt;=$E20,AS$7&lt;=$F20),1,"")</x:f>
      </x:c>
      <x:c r="AT20" s="313" t="str">
        <x:f>IF(AND(AT$7&gt;=$E20,AT$7&lt;=$F20),1,"")</x:f>
      </x:c>
      <x:c r="AU20" s="313" t="str">
        <x:f>IF(AND(AU$7&gt;=$E20,AU$7&lt;=$F20),1,"")</x:f>
      </x:c>
      <x:c r="AV20" s="313" t="str">
        <x:f>IF(AND(AV$7&gt;=$E20,AV$7&lt;=$F20),1,"")</x:f>
      </x:c>
      <x:c r="AW20" s="312" t="str">
        <x:f>IF(AND(AW$7&gt;=$E20,AW$7&lt;=$F20),1,"")</x:f>
      </x:c>
      <x:c r="AX20" s="310" t="str">
        <x:f>IF(AND(AX$7&gt;=$E20,AX$7&lt;=$F20),1,"")</x:f>
      </x:c>
      <x:c r="AY20" s="310" t="str">
        <x:f>IF(AND(AY$7&gt;=$E20,AY$7&lt;=$F20),1,"")</x:f>
      </x:c>
      <x:c r="AZ20" s="310" t="str">
        <x:f>IF(AND(AZ$7&gt;=$E20,AZ$7&lt;=$F20),1,"")</x:f>
      </x:c>
      <x:c r="BA20" s="310" t="str">
        <x:f>IF(AND(BA$7&gt;=$E20,BA$7&lt;=$F20),1,"")</x:f>
      </x:c>
      <x:c r="BB20" s="314" t="str">
        <x:f>IF(AND(BB$7&gt;=$E20,BB$7&lt;=$F20),1,"")</x:f>
      </x:c>
      <x:c r="BC20" s="314" t="str">
        <x:f>IF(AND(BC$7&gt;=$E20,BC$7&lt;=$F20),1,"")</x:f>
      </x:c>
      <x:c r="BD20" s="314" t="str">
        <x:f>IF(AND(BD$7&gt;=$E20,BD$7&lt;=$F20),1,"")</x:f>
      </x:c>
      <x:c r="BE20" s="314" t="str">
        <x:f>IF(AND(BE$7&gt;=$E20,BE$7&lt;=$F20),1,"")</x:f>
      </x:c>
      <x:c r="BF20" s="314" t="str">
        <x:f>IF(AND(BF$7&gt;=$E20,BF$7&lt;=$F20),1,"")</x:f>
      </x:c>
      <x:c r="BG20" s="310" t="str">
        <x:f>IF(AND(BG$7&gt;=$E20,BG$7&lt;=$F20),1,"")</x:f>
      </x:c>
      <x:c r="BH20" s="310" t="str">
        <x:f>IF(AND(BH$7&gt;=$E20,BH$7&lt;=$F20),1,"")</x:f>
      </x:c>
      <x:c r="BI20" s="310" t="str">
        <x:f>IF(AND(BI$7&gt;=$E20,BI$7&lt;=$F20),1,"")</x:f>
      </x:c>
      <x:c r="BJ20" s="310" t="str">
        <x:f>IF(AND(BJ$7&gt;=$E20,BJ$7&lt;=$F20),1,"")</x:f>
      </x:c>
      <x:c r="BK20" s="310" t="str">
        <x:f>IF(AND(BK$7&gt;=$E20,BK$7&lt;=$F20),1,"")</x:f>
      </x:c>
      <x:c r="BL20" s="314" t="str">
        <x:f>IF(AND(BL$7&gt;=$E20,BL$7&lt;=$F20),1,"")</x:f>
      </x:c>
      <x:c r="BM20" s="314" t="str">
        <x:f>IF(AND(BM$7&gt;=$E20,BM$7&lt;=$F20),1,"")</x:f>
      </x:c>
      <x:c r="BN20" s="314" t="str">
        <x:f>IF(AND(BN$7&gt;=$E20,BN$7&lt;=$F20),1,"")</x:f>
      </x:c>
      <x:c r="BO20" s="314" t="str">
        <x:f>IF(AND(BO$7&gt;=$E20,BO$7&lt;=$F20),1,"")</x:f>
      </x:c>
      <x:c r="BP20" s="314" t="str">
        <x:f>IF(AND(BP$7&gt;=$E20,BP$7&lt;=$F20),1,"")</x:f>
      </x:c>
      <x:c r="BQ20" s="312" t="str">
        <x:f>IF(AND(BQ$7&gt;=$E20,BQ$7&lt;=$F20),1,"")</x:f>
      </x:c>
      <x:c r="BR20" s="310" t="str">
        <x:f>IF(AND(BR$7&gt;=$E20,BR$7&lt;=$F20),1,"")</x:f>
      </x:c>
      <x:c r="BS20" s="310" t="str">
        <x:f>IF(AND(BS$7&gt;=$E20,BS$7&lt;=$F20),1,"")</x:f>
      </x:c>
      <x:c r="BT20" s="310" t="str">
        <x:f>IF(AND(BT$7&gt;=$E20,BT$7&lt;=$F20),1,"")</x:f>
      </x:c>
      <x:c r="BU20" s="310" t="str">
        <x:f>IF(AND(BU$7&gt;=$E20,BU$7&lt;=$F20),1,"")</x:f>
      </x:c>
      <x:c r="BV20" s="315" t="str">
        <x:f>IF(AND(BV$7&gt;=$E20,BV$7&lt;=$F20),1,"")</x:f>
      </x:c>
      <x:c r="BW20" s="315" t="str">
        <x:f>IF(AND(BW$7&gt;=$E20,BW$7&lt;=$F20),1,"")</x:f>
      </x:c>
      <x:c r="BX20" s="315" t="str">
        <x:f>IF(AND(BX$7&gt;=$E20,BX$7&lt;=$F20),1,"")</x:f>
      </x:c>
      <x:c r="BY20" s="315" t="str">
        <x:f>IF(AND(BY$7&gt;=$E20,BY$7&lt;=$F20),1,"")</x:f>
      </x:c>
      <x:c r="BZ20" s="315" t="str">
        <x:f>IF(AND(BZ$7&gt;=$E20,BZ$7&lt;=$F20),1,"")</x:f>
      </x:c>
      <x:c r="CA20" s="310" t="str">
        <x:f>IF(AND(CA$7&gt;=$E20,CA$7&lt;=$F20),1,"")</x:f>
      </x:c>
      <x:c r="CB20" s="310" t="str">
        <x:f>IF(AND(CB$7&gt;=$E20,CB$7&lt;=$F20),1,"")</x:f>
      </x:c>
      <x:c r="CC20" s="310" t="str">
        <x:f>IF(AND(CC$7&gt;=$E20,CC$7&lt;=$F20),1,"")</x:f>
      </x:c>
      <x:c r="CD20" s="310" t="str">
        <x:f>IF(AND(CD$7&gt;=$E20,CD$7&lt;=$F20),1,"")</x:f>
      </x:c>
      <x:c r="CE20" s="310" t="str">
        <x:f>IF(AND(CE$7&gt;=$E20,CE$7&lt;=$F20),1,"")</x:f>
      </x:c>
      <x:c r="CF20" s="315" t="str">
        <x:f>IF(AND(CF$7&gt;=$E20,CF$7&lt;=$F20),1,"")</x:f>
      </x:c>
      <x:c r="CG20" s="315" t="str">
        <x:f>IF(AND(CG$7&gt;=$E20,CG$7&lt;=$F20),1,"")</x:f>
      </x:c>
      <x:c r="CH20" s="315" t="str">
        <x:f>IF(AND(CH$7&gt;=$E20,CH$7&lt;=$F20),1,"")</x:f>
      </x:c>
      <x:c r="CI20" s="315" t="str">
        <x:f>IF(AND(CI$7&gt;=$E20,CI$7&lt;=$F20),1,"")</x:f>
      </x:c>
      <x:c r="CJ20" s="315" t="str">
        <x:f>IF(AND(CJ$7&gt;=$E20,CJ$7&lt;=$F20),1,"")</x:f>
      </x:c>
      <x:c r="CK20" s="312" t="str">
        <x:f>IF(AND(CK$7&gt;=$E20,CK$7&lt;=$F20),1,"")</x:f>
      </x:c>
      <x:c r="CL20" s="310" t="str">
        <x:f>IF(AND(CL$7&gt;=$E20,CL$7&lt;=$F20),1,"")</x:f>
      </x:c>
      <x:c r="CM20" s="310" t="str">
        <x:f>IF(AND(CM$7&gt;=$E20,CM$7&lt;=$F20),1,"")</x:f>
      </x:c>
      <x:c r="CN20" s="310" t="str">
        <x:f>IF(AND(CN$7&gt;=$E20,CN$7&lt;=$F20),1,"")</x:f>
      </x:c>
      <x:c r="CO20" s="310" t="str">
        <x:f>IF(AND(CO$7&gt;=$E20,CO$7&lt;=$F20),1,"")</x:f>
      </x:c>
      <x:c r="CP20" s="20"/>
    </x:row>
    <x:row r="21" ht="20" customHeight="1">
      <x:c r="B21" s="41" t="str">
        <x:v>2.3</x:v>
      </x:c>
      <x:c r="C21" s="341" t="str">
        <x:v>Diseñar UX/UI y flujos principales</x:v>
      </x:c>
      <x:c r="D21" s="347" t="str">
        <x:v>Equipo CAPSTONE</x:v>
      </x:c>
      <x:c r="E21" s="228" t="n">
        <x:v>46259</x:v>
      </x:c>
      <x:c r="F21" s="229" t="n">
        <x:v>46259</x:v>
      </x:c>
      <x:c r="G21" s="75" t="n">
        <x:f t="shared" si="0">IF(OR(E21="",F21=""),"",NETWORKDAYS(E21,F21))</x:f>
        <x:v>1</x:v>
      </x:c>
      <x:c r="H21" s="243" t="n">
        <x:v>1</x:v>
      </x:c>
      <x:c r="I21" s="309" t="str">
        <x:f>IF(AND(I$7&gt;=$E21,I$7&lt;=$F21),1,"")</x:f>
      </x:c>
      <x:c r="J21" s="310" t="str">
        <x:f>IF(AND(J$7&gt;=$E21,J$7&lt;=$F21),1,"")</x:f>
      </x:c>
      <x:c r="K21" s="310" t="str">
        <x:f>IF(AND(K$7&gt;=$E21,K$7&lt;=$F21),1,"")</x:f>
      </x:c>
      <x:c r="L21" s="310" t="str">
        <x:f>IF(AND(L$7&gt;=$E21,L$7&lt;=$F21),1,"")</x:f>
      </x:c>
      <x:c r="M21" s="310" t="str">
        <x:f>IF(AND(M$7&gt;=$E21,M$7&lt;=$F21),1,"")</x:f>
      </x:c>
      <x:c r="N21" s="311" t="str">
        <x:f>IF(AND(N$7&gt;=$E21,N$7&lt;=$F21),1,"")</x:f>
      </x:c>
      <x:c r="O21" s="311" t="str">
        <x:f>IF(AND(O$7&gt;=$E21,O$7&lt;=$F21),1,"")</x:f>
      </x:c>
      <x:c r="P21" s="311" t="str">
        <x:f>IF(AND(P$7&gt;=$E21,P$7&lt;=$F21),1,"")</x:f>
      </x:c>
      <x:c r="Q21" s="311" t="str">
        <x:f>IF(AND(Q$7&gt;=$E21,Q$7&lt;=$F21),1,"")</x:f>
      </x:c>
      <x:c r="R21" s="311" t="str">
        <x:f>IF(AND(R$7&gt;=$E21,R$7&lt;=$F21),1,"")</x:f>
      </x:c>
      <x:c r="S21" s="310" t="str">
        <x:f>IF(AND(S$7&gt;=$E21,S$7&lt;=$F21),1,"")</x:f>
      </x:c>
      <x:c r="T21" s="310" t="n">
        <x:f>IF(AND(T$7&gt;=$E21,T$7&lt;=$F21),1,"")</x:f>
        <x:v>1</x:v>
      </x:c>
      <x:c r="U21" s="310" t="str">
        <x:f>IF(AND(U$7&gt;=$E21,U$7&lt;=$F21),1,"")</x:f>
      </x:c>
      <x:c r="V21" s="310" t="str">
        <x:f>IF(AND(V$7&gt;=$E21,V$7&lt;=$F21),1,"")</x:f>
      </x:c>
      <x:c r="W21" s="310" t="str">
        <x:f>IF(AND(W$7&gt;=$E21,W$7&lt;=$F21),1,"")</x:f>
      </x:c>
      <x:c r="X21" s="311" t="str">
        <x:f>IF(AND(X$7&gt;=$E21,X$7&lt;=$F21),1,"")</x:f>
      </x:c>
      <x:c r="Y21" s="311" t="str">
        <x:f>IF(AND(Y$7&gt;=$E21,Y$7&lt;=$F21),1,"")</x:f>
      </x:c>
      <x:c r="Z21" s="311" t="str">
        <x:f>IF(AND(Z$7&gt;=$E21,Z$7&lt;=$F21),1,"")</x:f>
      </x:c>
      <x:c r="AA21" s="311" t="str">
        <x:f>IF(AND(AA$7&gt;=$E21,AA$7&lt;=$F21),1,"")</x:f>
      </x:c>
      <x:c r="AB21" s="311" t="str">
        <x:f>IF(AND(AB$7&gt;=$E21,AB$7&lt;=$F21),1,"")</x:f>
      </x:c>
      <x:c r="AC21" s="312" t="str">
        <x:f>IF(AND(AC$7&gt;=$E21,AC$7&lt;=$F21),1,"")</x:f>
      </x:c>
      <x:c r="AD21" s="310" t="str">
        <x:f>IF(AND(AD$7&gt;=$E21,AD$7&lt;=$F21),1,"")</x:f>
      </x:c>
      <x:c r="AE21" s="310" t="str">
        <x:f>IF(AND(AE$7&gt;=$E21,AE$7&lt;=$F21),1,"")</x:f>
      </x:c>
      <x:c r="AF21" s="310" t="str">
        <x:f>IF(AND(AF$7&gt;=$E21,AF$7&lt;=$F21),1,"")</x:f>
      </x:c>
      <x:c r="AG21" s="310" t="str">
        <x:f>IF(AND(AG$7&gt;=$E21,AG$7&lt;=$F21),1,"")</x:f>
      </x:c>
      <x:c r="AH21" s="313" t="str">
        <x:f>IF(AND(AH$7&gt;=$E21,AH$7&lt;=$F21),1,"")</x:f>
      </x:c>
      <x:c r="AI21" s="313" t="str">
        <x:f>IF(AND(AI$7&gt;=$E21,AI$7&lt;=$F21),1,"")</x:f>
      </x:c>
      <x:c r="AJ21" s="313" t="str">
        <x:f>IF(AND(AJ$7&gt;=$E21,AJ$7&lt;=$F21),1,"")</x:f>
      </x:c>
      <x:c r="AK21" s="313" t="str">
        <x:f>IF(AND(AK$7&gt;=$E21,AK$7&lt;=$F21),1,"")</x:f>
      </x:c>
      <x:c r="AL21" s="313" t="str">
        <x:f>IF(AND(AL$7&gt;=$E21,AL$7&lt;=$F21),1,"")</x:f>
      </x:c>
      <x:c r="AM21" s="310" t="str">
        <x:f>IF(AND(AM$7&gt;=$E21,AM$7&lt;=$F21),1,"")</x:f>
      </x:c>
      <x:c r="AN21" s="310" t="str">
        <x:f>IF(AND(AN$7&gt;=$E21,AN$7&lt;=$F21),1,"")</x:f>
      </x:c>
      <x:c r="AO21" s="310" t="str">
        <x:f>IF(AND(AO$7&gt;=$E21,AO$7&lt;=$F21),1,"")</x:f>
      </x:c>
      <x:c r="AP21" s="310" t="str">
        <x:f>IF(AND(AP$7&gt;=$E21,AP$7&lt;=$F21),1,"")</x:f>
      </x:c>
      <x:c r="AQ21" s="310" t="str">
        <x:f>IF(AND(AQ$7&gt;=$E21,AQ$7&lt;=$F21),1,"")</x:f>
      </x:c>
      <x:c r="AR21" s="313" t="str">
        <x:f>IF(AND(AR$7&gt;=$E21,AR$7&lt;=$F21),1,"")</x:f>
      </x:c>
      <x:c r="AS21" s="313" t="str">
        <x:f>IF(AND(AS$7&gt;=$E21,AS$7&lt;=$F21),1,"")</x:f>
      </x:c>
      <x:c r="AT21" s="313" t="str">
        <x:f>IF(AND(AT$7&gt;=$E21,AT$7&lt;=$F21),1,"")</x:f>
      </x:c>
      <x:c r="AU21" s="313" t="str">
        <x:f>IF(AND(AU$7&gt;=$E21,AU$7&lt;=$F21),1,"")</x:f>
      </x:c>
      <x:c r="AV21" s="313" t="str">
        <x:f>IF(AND(AV$7&gt;=$E21,AV$7&lt;=$F21),1,"")</x:f>
      </x:c>
      <x:c r="AW21" s="312" t="str">
        <x:f>IF(AND(AW$7&gt;=$E21,AW$7&lt;=$F21),1,"")</x:f>
      </x:c>
      <x:c r="AX21" s="310" t="str">
        <x:f>IF(AND(AX$7&gt;=$E21,AX$7&lt;=$F21),1,"")</x:f>
      </x:c>
      <x:c r="AY21" s="310" t="str">
        <x:f>IF(AND(AY$7&gt;=$E21,AY$7&lt;=$F21),1,"")</x:f>
      </x:c>
      <x:c r="AZ21" s="310" t="str">
        <x:f>IF(AND(AZ$7&gt;=$E21,AZ$7&lt;=$F21),1,"")</x:f>
      </x:c>
      <x:c r="BA21" s="310" t="str">
        <x:f>IF(AND(BA$7&gt;=$E21,BA$7&lt;=$F21),1,"")</x:f>
      </x:c>
      <x:c r="BB21" s="314" t="str">
        <x:f>IF(AND(BB$7&gt;=$E21,BB$7&lt;=$F21),1,"")</x:f>
      </x:c>
      <x:c r="BC21" s="314" t="str">
        <x:f>IF(AND(BC$7&gt;=$E21,BC$7&lt;=$F21),1,"")</x:f>
      </x:c>
      <x:c r="BD21" s="314" t="str">
        <x:f>IF(AND(BD$7&gt;=$E21,BD$7&lt;=$F21),1,"")</x:f>
      </x:c>
      <x:c r="BE21" s="314" t="str">
        <x:f>IF(AND(BE$7&gt;=$E21,BE$7&lt;=$F21),1,"")</x:f>
      </x:c>
      <x:c r="BF21" s="314" t="str">
        <x:f>IF(AND(BF$7&gt;=$E21,BF$7&lt;=$F21),1,"")</x:f>
      </x:c>
      <x:c r="BG21" s="310" t="str">
        <x:f>IF(AND(BG$7&gt;=$E21,BG$7&lt;=$F21),1,"")</x:f>
      </x:c>
      <x:c r="BH21" s="310" t="str">
        <x:f>IF(AND(BH$7&gt;=$E21,BH$7&lt;=$F21),1,"")</x:f>
      </x:c>
      <x:c r="BI21" s="310" t="str">
        <x:f>IF(AND(BI$7&gt;=$E21,BI$7&lt;=$F21),1,"")</x:f>
      </x:c>
      <x:c r="BJ21" s="310" t="str">
        <x:f>IF(AND(BJ$7&gt;=$E21,BJ$7&lt;=$F21),1,"")</x:f>
      </x:c>
      <x:c r="BK21" s="310" t="str">
        <x:f>IF(AND(BK$7&gt;=$E21,BK$7&lt;=$F21),1,"")</x:f>
      </x:c>
      <x:c r="BL21" s="314" t="str">
        <x:f>IF(AND(BL$7&gt;=$E21,BL$7&lt;=$F21),1,"")</x:f>
      </x:c>
      <x:c r="BM21" s="314" t="str">
        <x:f>IF(AND(BM$7&gt;=$E21,BM$7&lt;=$F21),1,"")</x:f>
      </x:c>
      <x:c r="BN21" s="314" t="str">
        <x:f>IF(AND(BN$7&gt;=$E21,BN$7&lt;=$F21),1,"")</x:f>
      </x:c>
      <x:c r="BO21" s="314" t="str">
        <x:f>IF(AND(BO$7&gt;=$E21,BO$7&lt;=$F21),1,"")</x:f>
      </x:c>
      <x:c r="BP21" s="314" t="str">
        <x:f>IF(AND(BP$7&gt;=$E21,BP$7&lt;=$F21),1,"")</x:f>
      </x:c>
      <x:c r="BQ21" s="312" t="str">
        <x:f>IF(AND(BQ$7&gt;=$E21,BQ$7&lt;=$F21),1,"")</x:f>
      </x:c>
      <x:c r="BR21" s="310" t="str">
        <x:f>IF(AND(BR$7&gt;=$E21,BR$7&lt;=$F21),1,"")</x:f>
      </x:c>
      <x:c r="BS21" s="310" t="str">
        <x:f>IF(AND(BS$7&gt;=$E21,BS$7&lt;=$F21),1,"")</x:f>
      </x:c>
      <x:c r="BT21" s="310" t="str">
        <x:f>IF(AND(BT$7&gt;=$E21,BT$7&lt;=$F21),1,"")</x:f>
      </x:c>
      <x:c r="BU21" s="310" t="str">
        <x:f>IF(AND(BU$7&gt;=$E21,BU$7&lt;=$F21),1,"")</x:f>
      </x:c>
      <x:c r="BV21" s="315" t="str">
        <x:f>IF(AND(BV$7&gt;=$E21,BV$7&lt;=$F21),1,"")</x:f>
      </x:c>
      <x:c r="BW21" s="315" t="str">
        <x:f>IF(AND(BW$7&gt;=$E21,BW$7&lt;=$F21),1,"")</x:f>
      </x:c>
      <x:c r="BX21" s="315" t="str">
        <x:f>IF(AND(BX$7&gt;=$E21,BX$7&lt;=$F21),1,"")</x:f>
      </x:c>
      <x:c r="BY21" s="315" t="str">
        <x:f>IF(AND(BY$7&gt;=$E21,BY$7&lt;=$F21),1,"")</x:f>
      </x:c>
      <x:c r="BZ21" s="315" t="str">
        <x:f>IF(AND(BZ$7&gt;=$E21,BZ$7&lt;=$F21),1,"")</x:f>
      </x:c>
      <x:c r="CA21" s="310" t="str">
        <x:f>IF(AND(CA$7&gt;=$E21,CA$7&lt;=$F21),1,"")</x:f>
      </x:c>
      <x:c r="CB21" s="310" t="str">
        <x:f>IF(AND(CB$7&gt;=$E21,CB$7&lt;=$F21),1,"")</x:f>
      </x:c>
      <x:c r="CC21" s="310" t="str">
        <x:f>IF(AND(CC$7&gt;=$E21,CC$7&lt;=$F21),1,"")</x:f>
      </x:c>
      <x:c r="CD21" s="310" t="str">
        <x:f>IF(AND(CD$7&gt;=$E21,CD$7&lt;=$F21),1,"")</x:f>
      </x:c>
      <x:c r="CE21" s="310" t="str">
        <x:f>IF(AND(CE$7&gt;=$E21,CE$7&lt;=$F21),1,"")</x:f>
      </x:c>
      <x:c r="CF21" s="315" t="str">
        <x:f>IF(AND(CF$7&gt;=$E21,CF$7&lt;=$F21),1,"")</x:f>
      </x:c>
      <x:c r="CG21" s="315" t="str">
        <x:f>IF(AND(CG$7&gt;=$E21,CG$7&lt;=$F21),1,"")</x:f>
      </x:c>
      <x:c r="CH21" s="315" t="str">
        <x:f>IF(AND(CH$7&gt;=$E21,CH$7&lt;=$F21),1,"")</x:f>
      </x:c>
      <x:c r="CI21" s="315" t="str">
        <x:f>IF(AND(CI$7&gt;=$E21,CI$7&lt;=$F21),1,"")</x:f>
      </x:c>
      <x:c r="CJ21" s="315" t="str">
        <x:f>IF(AND(CJ$7&gt;=$E21,CJ$7&lt;=$F21),1,"")</x:f>
      </x:c>
      <x:c r="CK21" s="312" t="str">
        <x:f>IF(AND(CK$7&gt;=$E21,CK$7&lt;=$F21),1,"")</x:f>
      </x:c>
      <x:c r="CL21" s="310" t="str">
        <x:f>IF(AND(CL$7&gt;=$E21,CL$7&lt;=$F21),1,"")</x:f>
      </x:c>
      <x:c r="CM21" s="310" t="str">
        <x:f>IF(AND(CM$7&gt;=$E21,CM$7&lt;=$F21),1,"")</x:f>
      </x:c>
      <x:c r="CN21" s="310" t="str">
        <x:f>IF(AND(CN$7&gt;=$E21,CN$7&lt;=$F21),1,"")</x:f>
      </x:c>
      <x:c r="CO21" s="310" t="str">
        <x:f>IF(AND(CO$7&gt;=$E21,CO$7&lt;=$F21),1,"")</x:f>
      </x:c>
      <x:c r="CP21" s="20"/>
    </x:row>
    <x:row r="22" ht="20" customHeight="1">
      <x:c r="B22" s="41" t="str">
        <x:v>2.4</x:v>
      </x:c>
      <x:c r="C22" s="341" t="str">
        <x:v>Validar diseño, seguridad, infraestructura, ADR y HANDOFF a Skill 3</x:v>
      </x:c>
      <x:c r="D22" s="347" t="str">
        <x:v>Equipo CAPSTONE</x:v>
      </x:c>
      <x:c r="E22" s="228" t="n">
        <x:v>46259</x:v>
      </x:c>
      <x:c r="F22" s="229" t="n">
        <x:v>46259</x:v>
      </x:c>
      <x:c r="G22" s="75" t="n">
        <x:f t="shared" si="0">IF(OR(E22="",F22=""),"",NETWORKDAYS(E22,F22))</x:f>
        <x:v>1</x:v>
      </x:c>
      <x:c r="H22" s="243" t="n">
        <x:v>1</x:v>
      </x:c>
      <x:c r="I22" s="309" t="str">
        <x:f>IF(AND(I$7&gt;=$E22,I$7&lt;=$F22),1,"")</x:f>
      </x:c>
      <x:c r="J22" s="310" t="str">
        <x:f>IF(AND(J$7&gt;=$E22,J$7&lt;=$F22),1,"")</x:f>
      </x:c>
      <x:c r="K22" s="310" t="str">
        <x:f>IF(AND(K$7&gt;=$E22,K$7&lt;=$F22),1,"")</x:f>
      </x:c>
      <x:c r="L22" s="310" t="str">
        <x:f>IF(AND(L$7&gt;=$E22,L$7&lt;=$F22),1,"")</x:f>
      </x:c>
      <x:c r="M22" s="310" t="str">
        <x:f>IF(AND(M$7&gt;=$E22,M$7&lt;=$F22),1,"")</x:f>
      </x:c>
      <x:c r="N22" s="311" t="str">
        <x:f>IF(AND(N$7&gt;=$E22,N$7&lt;=$F22),1,"")</x:f>
      </x:c>
      <x:c r="O22" s="311" t="str">
        <x:f>IF(AND(O$7&gt;=$E22,O$7&lt;=$F22),1,"")</x:f>
      </x:c>
      <x:c r="P22" s="311" t="str">
        <x:f>IF(AND(P$7&gt;=$E22,P$7&lt;=$F22),1,"")</x:f>
      </x:c>
      <x:c r="Q22" s="311" t="str">
        <x:f>IF(AND(Q$7&gt;=$E22,Q$7&lt;=$F22),1,"")</x:f>
      </x:c>
      <x:c r="R22" s="311" t="str">
        <x:f>IF(AND(R$7&gt;=$E22,R$7&lt;=$F22),1,"")</x:f>
      </x:c>
      <x:c r="S22" s="310" t="str">
        <x:f>IF(AND(S$7&gt;=$E22,S$7&lt;=$F22),1,"")</x:f>
      </x:c>
      <x:c r="T22" s="310" t="n">
        <x:f>IF(AND(T$7&gt;=$E22,T$7&lt;=$F22),1,"")</x:f>
        <x:v>1</x:v>
      </x:c>
      <x:c r="U22" s="310" t="str">
        <x:f>IF(AND(U$7&gt;=$E22,U$7&lt;=$F22),1,"")</x:f>
      </x:c>
      <x:c r="V22" s="310" t="str">
        <x:f>IF(AND(V$7&gt;=$E22,V$7&lt;=$F22),1,"")</x:f>
      </x:c>
      <x:c r="W22" s="310" t="str">
        <x:f>IF(AND(W$7&gt;=$E22,W$7&lt;=$F22),1,"")</x:f>
      </x:c>
      <x:c r="X22" s="311" t="str">
        <x:f>IF(AND(X$7&gt;=$E22,X$7&lt;=$F22),1,"")</x:f>
      </x:c>
      <x:c r="Y22" s="311" t="str">
        <x:f>IF(AND(Y$7&gt;=$E22,Y$7&lt;=$F22),1,"")</x:f>
      </x:c>
      <x:c r="Z22" s="311" t="str">
        <x:f>IF(AND(Z$7&gt;=$E22,Z$7&lt;=$F22),1,"")</x:f>
      </x:c>
      <x:c r="AA22" s="311" t="str">
        <x:f>IF(AND(AA$7&gt;=$E22,AA$7&lt;=$F22),1,"")</x:f>
      </x:c>
      <x:c r="AB22" s="311" t="str">
        <x:f>IF(AND(AB$7&gt;=$E22,AB$7&lt;=$F22),1,"")</x:f>
      </x:c>
      <x:c r="AC22" s="312" t="str">
        <x:f>IF(AND(AC$7&gt;=$E22,AC$7&lt;=$F22),1,"")</x:f>
      </x:c>
      <x:c r="AD22" s="310" t="str">
        <x:f>IF(AND(AD$7&gt;=$E22,AD$7&lt;=$F22),1,"")</x:f>
      </x:c>
      <x:c r="AE22" s="310" t="str">
        <x:f>IF(AND(AE$7&gt;=$E22,AE$7&lt;=$F22),1,"")</x:f>
      </x:c>
      <x:c r="AF22" s="310" t="str">
        <x:f>IF(AND(AF$7&gt;=$E22,AF$7&lt;=$F22),1,"")</x:f>
      </x:c>
      <x:c r="AG22" s="310" t="str">
        <x:f>IF(AND(AG$7&gt;=$E22,AG$7&lt;=$F22),1,"")</x:f>
      </x:c>
      <x:c r="AH22" s="313" t="str">
        <x:f>IF(AND(AH$7&gt;=$E22,AH$7&lt;=$F22),1,"")</x:f>
      </x:c>
      <x:c r="AI22" s="313" t="str">
        <x:f>IF(AND(AI$7&gt;=$E22,AI$7&lt;=$F22),1,"")</x:f>
      </x:c>
      <x:c r="AJ22" s="313" t="str">
        <x:f>IF(AND(AJ$7&gt;=$E22,AJ$7&lt;=$F22),1,"")</x:f>
      </x:c>
      <x:c r="AK22" s="313" t="str">
        <x:f>IF(AND(AK$7&gt;=$E22,AK$7&lt;=$F22),1,"")</x:f>
      </x:c>
      <x:c r="AL22" s="313" t="str">
        <x:f>IF(AND(AL$7&gt;=$E22,AL$7&lt;=$F22),1,"")</x:f>
      </x:c>
      <x:c r="AM22" s="310" t="str">
        <x:f>IF(AND(AM$7&gt;=$E22,AM$7&lt;=$F22),1,"")</x:f>
      </x:c>
      <x:c r="AN22" s="310" t="str">
        <x:f>IF(AND(AN$7&gt;=$E22,AN$7&lt;=$F22),1,"")</x:f>
      </x:c>
      <x:c r="AO22" s="310" t="str">
        <x:f>IF(AND(AO$7&gt;=$E22,AO$7&lt;=$F22),1,"")</x:f>
      </x:c>
      <x:c r="AP22" s="310" t="str">
        <x:f>IF(AND(AP$7&gt;=$E22,AP$7&lt;=$F22),1,"")</x:f>
      </x:c>
      <x:c r="AQ22" s="310" t="str">
        <x:f>IF(AND(AQ$7&gt;=$E22,AQ$7&lt;=$F22),1,"")</x:f>
      </x:c>
      <x:c r="AR22" s="313" t="str">
        <x:f>IF(AND(AR$7&gt;=$E22,AR$7&lt;=$F22),1,"")</x:f>
      </x:c>
      <x:c r="AS22" s="313" t="str">
        <x:f>IF(AND(AS$7&gt;=$E22,AS$7&lt;=$F22),1,"")</x:f>
      </x:c>
      <x:c r="AT22" s="313" t="str">
        <x:f>IF(AND(AT$7&gt;=$E22,AT$7&lt;=$F22),1,"")</x:f>
      </x:c>
      <x:c r="AU22" s="313" t="str">
        <x:f>IF(AND(AU$7&gt;=$E22,AU$7&lt;=$F22),1,"")</x:f>
      </x:c>
      <x:c r="AV22" s="313" t="str">
        <x:f>IF(AND(AV$7&gt;=$E22,AV$7&lt;=$F22),1,"")</x:f>
      </x:c>
      <x:c r="AW22" s="312" t="str">
        <x:f>IF(AND(AW$7&gt;=$E22,AW$7&lt;=$F22),1,"")</x:f>
      </x:c>
      <x:c r="AX22" s="310" t="str">
        <x:f>IF(AND(AX$7&gt;=$E22,AX$7&lt;=$F22),1,"")</x:f>
      </x:c>
      <x:c r="AY22" s="310" t="str">
        <x:f>IF(AND(AY$7&gt;=$E22,AY$7&lt;=$F22),1,"")</x:f>
      </x:c>
      <x:c r="AZ22" s="310" t="str">
        <x:f>IF(AND(AZ$7&gt;=$E22,AZ$7&lt;=$F22),1,"")</x:f>
      </x:c>
      <x:c r="BA22" s="310" t="str">
        <x:f>IF(AND(BA$7&gt;=$E22,BA$7&lt;=$F22),1,"")</x:f>
      </x:c>
      <x:c r="BB22" s="314" t="str">
        <x:f>IF(AND(BB$7&gt;=$E22,BB$7&lt;=$F22),1,"")</x:f>
      </x:c>
      <x:c r="BC22" s="314" t="str">
        <x:f>IF(AND(BC$7&gt;=$E22,BC$7&lt;=$F22),1,"")</x:f>
      </x:c>
      <x:c r="BD22" s="314" t="str">
        <x:f>IF(AND(BD$7&gt;=$E22,BD$7&lt;=$F22),1,"")</x:f>
      </x:c>
      <x:c r="BE22" s="314" t="str">
        <x:f>IF(AND(BE$7&gt;=$E22,BE$7&lt;=$F22),1,"")</x:f>
      </x:c>
      <x:c r="BF22" s="314" t="str">
        <x:f>IF(AND(BF$7&gt;=$E22,BF$7&lt;=$F22),1,"")</x:f>
      </x:c>
      <x:c r="BG22" s="310" t="str">
        <x:f>IF(AND(BG$7&gt;=$E22,BG$7&lt;=$F22),1,"")</x:f>
      </x:c>
      <x:c r="BH22" s="310" t="str">
        <x:f>IF(AND(BH$7&gt;=$E22,BH$7&lt;=$F22),1,"")</x:f>
      </x:c>
      <x:c r="BI22" s="310" t="str">
        <x:f>IF(AND(BI$7&gt;=$E22,BI$7&lt;=$F22),1,"")</x:f>
      </x:c>
      <x:c r="BJ22" s="310" t="str">
        <x:f>IF(AND(BJ$7&gt;=$E22,BJ$7&lt;=$F22),1,"")</x:f>
      </x:c>
      <x:c r="BK22" s="310" t="str">
        <x:f>IF(AND(BK$7&gt;=$E22,BK$7&lt;=$F22),1,"")</x:f>
      </x:c>
      <x:c r="BL22" s="314" t="str">
        <x:f>IF(AND(BL$7&gt;=$E22,BL$7&lt;=$F22),1,"")</x:f>
      </x:c>
      <x:c r="BM22" s="314" t="str">
        <x:f>IF(AND(BM$7&gt;=$E22,BM$7&lt;=$F22),1,"")</x:f>
      </x:c>
      <x:c r="BN22" s="314" t="str">
        <x:f>IF(AND(BN$7&gt;=$E22,BN$7&lt;=$F22),1,"")</x:f>
      </x:c>
      <x:c r="BO22" s="314" t="str">
        <x:f>IF(AND(BO$7&gt;=$E22,BO$7&lt;=$F22),1,"")</x:f>
      </x:c>
      <x:c r="BP22" s="314" t="str">
        <x:f>IF(AND(BP$7&gt;=$E22,BP$7&lt;=$F22),1,"")</x:f>
      </x:c>
      <x:c r="BQ22" s="312" t="str">
        <x:f>IF(AND(BQ$7&gt;=$E22,BQ$7&lt;=$F22),1,"")</x:f>
      </x:c>
      <x:c r="BR22" s="310" t="str">
        <x:f>IF(AND(BR$7&gt;=$E22,BR$7&lt;=$F22),1,"")</x:f>
      </x:c>
      <x:c r="BS22" s="310" t="str">
        <x:f>IF(AND(BS$7&gt;=$E22,BS$7&lt;=$F22),1,"")</x:f>
      </x:c>
      <x:c r="BT22" s="310" t="str">
        <x:f>IF(AND(BT$7&gt;=$E22,BT$7&lt;=$F22),1,"")</x:f>
      </x:c>
      <x:c r="BU22" s="310" t="str">
        <x:f>IF(AND(BU$7&gt;=$E22,BU$7&lt;=$F22),1,"")</x:f>
      </x:c>
      <x:c r="BV22" s="315" t="str">
        <x:f>IF(AND(BV$7&gt;=$E22,BV$7&lt;=$F22),1,"")</x:f>
      </x:c>
      <x:c r="BW22" s="315" t="str">
        <x:f>IF(AND(BW$7&gt;=$E22,BW$7&lt;=$F22),1,"")</x:f>
      </x:c>
      <x:c r="BX22" s="315" t="str">
        <x:f>IF(AND(BX$7&gt;=$E22,BX$7&lt;=$F22),1,"")</x:f>
      </x:c>
      <x:c r="BY22" s="315" t="str">
        <x:f>IF(AND(BY$7&gt;=$E22,BY$7&lt;=$F22),1,"")</x:f>
      </x:c>
      <x:c r="BZ22" s="315" t="str">
        <x:f>IF(AND(BZ$7&gt;=$E22,BZ$7&lt;=$F22),1,"")</x:f>
      </x:c>
      <x:c r="CA22" s="310" t="str">
        <x:f>IF(AND(CA$7&gt;=$E22,CA$7&lt;=$F22),1,"")</x:f>
      </x:c>
      <x:c r="CB22" s="310" t="str">
        <x:f>IF(AND(CB$7&gt;=$E22,CB$7&lt;=$F22),1,"")</x:f>
      </x:c>
      <x:c r="CC22" s="310" t="str">
        <x:f>IF(AND(CC$7&gt;=$E22,CC$7&lt;=$F22),1,"")</x:f>
      </x:c>
      <x:c r="CD22" s="310" t="str">
        <x:f>IF(AND(CD$7&gt;=$E22,CD$7&lt;=$F22),1,"")</x:f>
      </x:c>
      <x:c r="CE22" s="310" t="str">
        <x:f>IF(AND(CE$7&gt;=$E22,CE$7&lt;=$F22),1,"")</x:f>
      </x:c>
      <x:c r="CF22" s="315" t="str">
        <x:f>IF(AND(CF$7&gt;=$E22,CF$7&lt;=$F22),1,"")</x:f>
      </x:c>
      <x:c r="CG22" s="315" t="str">
        <x:f>IF(AND(CG$7&gt;=$E22,CG$7&lt;=$F22),1,"")</x:f>
      </x:c>
      <x:c r="CH22" s="315" t="str">
        <x:f>IF(AND(CH$7&gt;=$E22,CH$7&lt;=$F22),1,"")</x:f>
      </x:c>
      <x:c r="CI22" s="315" t="str">
        <x:f>IF(AND(CI$7&gt;=$E22,CI$7&lt;=$F22),1,"")</x:f>
      </x:c>
      <x:c r="CJ22" s="315" t="str">
        <x:f>IF(AND(CJ$7&gt;=$E22,CJ$7&lt;=$F22),1,"")</x:f>
      </x:c>
      <x:c r="CK22" s="312" t="str">
        <x:f>IF(AND(CK$7&gt;=$E22,CK$7&lt;=$F22),1,"")</x:f>
      </x:c>
      <x:c r="CL22" s="310" t="str">
        <x:f>IF(AND(CL$7&gt;=$E22,CL$7&lt;=$F22),1,"")</x:f>
      </x:c>
      <x:c r="CM22" s="310" t="str">
        <x:f>IF(AND(CM$7&gt;=$E22,CM$7&lt;=$F22),1,"")</x:f>
      </x:c>
      <x:c r="CN22" s="310" t="str">
        <x:f>IF(AND(CN$7&gt;=$E22,CN$7&lt;=$F22),1,"")</x:f>
      </x:c>
      <x:c r="CO22" s="310" t="str">
        <x:f>IF(AND(CO$7&gt;=$E22,CO$7&lt;=$F22),1,"")</x:f>
      </x:c>
      <x:c r="CP22" s="20"/>
    </x:row>
    <x:row r="23" ht="20" customHeight="1">
      <x:c r="B23" s="41" t="str">
        <x:v>3</x:v>
      </x:c>
      <x:c r="C23" s="342" t="str">
        <x:v>FASE 3 — DESARROLLO DEL MVP</x:v>
      </x:c>
      <x:c r="D23" s="348" t="str">
        <x:v>Equipo CAPSTONE</x:v>
      </x:c>
      <x:c r="E23" s="230" t="n">
        <x:v>46286</x:v>
      </x:c>
      <x:c r="F23" s="231" t="n">
        <x:v>46318</x:v>
      </x:c>
      <x:c r="G23" s="48" t="n">
        <x:f t="shared" si="0">IF(OR(E23="",F23=""),"",NETWORKDAYS(E23,F23))</x:f>
        <x:v>25</x:v>
      </x:c>
      <x:c r="H23" s="244" t="n">
        <x:v>0</x:v>
      </x:c>
      <x:c r="I23" s="306" t="str">
        <x:f>IF(AND(I$7&gt;=$E23,I$7&lt;=$F23),1,"")</x:f>
      </x:c>
      <x:c r="J23" s="307" t="str">
        <x:f>IF(AND(J$7&gt;=$E23,J$7&lt;=$F23),1,"")</x:f>
      </x:c>
      <x:c r="K23" s="307" t="str">
        <x:f>IF(AND(K$7&gt;=$E23,K$7&lt;=$F23),1,"")</x:f>
      </x:c>
      <x:c r="L23" s="307" t="str">
        <x:f>IF(AND(L$7&gt;=$E23,L$7&lt;=$F23),1,"")</x:f>
      </x:c>
      <x:c r="M23" s="307" t="str">
        <x:f>IF(AND(M$7&gt;=$E23,M$7&lt;=$F23),1,"")</x:f>
      </x:c>
      <x:c r="N23" s="307" t="str">
        <x:f>IF(AND(N$7&gt;=$E23,N$7&lt;=$F23),1,"")</x:f>
      </x:c>
      <x:c r="O23" s="307" t="str">
        <x:f>IF(AND(O$7&gt;=$E23,O$7&lt;=$F23),1,"")</x:f>
      </x:c>
      <x:c r="P23" s="307" t="str">
        <x:f>IF(AND(P$7&gt;=$E23,P$7&lt;=$F23),1,"")</x:f>
      </x:c>
      <x:c r="Q23" s="307" t="str">
        <x:f>IF(AND(Q$7&gt;=$E23,Q$7&lt;=$F23),1,"")</x:f>
      </x:c>
      <x:c r="R23" s="307" t="str">
        <x:f>IF(AND(R$7&gt;=$E23,R$7&lt;=$F23),1,"")</x:f>
      </x:c>
      <x:c r="S23" s="307" t="str">
        <x:f>IF(AND(S$7&gt;=$E23,S$7&lt;=$F23),1,"")</x:f>
      </x:c>
      <x:c r="T23" s="307" t="str">
        <x:f>IF(AND(T$7&gt;=$E23,T$7&lt;=$F23),1,"")</x:f>
      </x:c>
      <x:c r="U23" s="307" t="str">
        <x:f>IF(AND(U$7&gt;=$E23,U$7&lt;=$F23),1,"")</x:f>
      </x:c>
      <x:c r="V23" s="307" t="str">
        <x:f>IF(AND(V$7&gt;=$E23,V$7&lt;=$F23),1,"")</x:f>
      </x:c>
      <x:c r="W23" s="307" t="str">
        <x:f>IF(AND(W$7&gt;=$E23,W$7&lt;=$F23),1,"")</x:f>
      </x:c>
      <x:c r="X23" s="307" t="str">
        <x:f>IF(AND(X$7&gt;=$E23,X$7&lt;=$F23),1,"")</x:f>
      </x:c>
      <x:c r="Y23" s="307" t="str">
        <x:f>IF(AND(Y$7&gt;=$E23,Y$7&lt;=$F23),1,"")</x:f>
      </x:c>
      <x:c r="Z23" s="307" t="str">
        <x:f>IF(AND(Z$7&gt;=$E23,Z$7&lt;=$F23),1,"")</x:f>
      </x:c>
      <x:c r="AA23" s="307" t="str">
        <x:f>IF(AND(AA$7&gt;=$E23,AA$7&lt;=$F23),1,"")</x:f>
      </x:c>
      <x:c r="AB23" s="307" t="str">
        <x:f>IF(AND(AB$7&gt;=$E23,AB$7&lt;=$F23),1,"")</x:f>
      </x:c>
      <x:c r="AC23" s="308" t="str">
        <x:f>IF(AND(AC$7&gt;=$E23,AC$7&lt;=$F23),1,"")</x:f>
      </x:c>
      <x:c r="AD23" s="307" t="str">
        <x:f>IF(AND(AD$7&gt;=$E23,AD$7&lt;=$F23),1,"")</x:f>
      </x:c>
      <x:c r="AE23" s="307" t="str">
        <x:f>IF(AND(AE$7&gt;=$E23,AE$7&lt;=$F23),1,"")</x:f>
      </x:c>
      <x:c r="AF23" s="307" t="str">
        <x:f>IF(AND(AF$7&gt;=$E23,AF$7&lt;=$F23),1,"")</x:f>
      </x:c>
      <x:c r="AG23" s="307" t="str">
        <x:f>IF(AND(AG$7&gt;=$E23,AG$7&lt;=$F23),1,"")</x:f>
      </x:c>
      <x:c r="AH23" s="307" t="str">
        <x:f>IF(AND(AH$7&gt;=$E23,AH$7&lt;=$F23),1,"")</x:f>
      </x:c>
      <x:c r="AI23" s="307" t="str">
        <x:f>IF(AND(AI$7&gt;=$E23,AI$7&lt;=$F23),1,"")</x:f>
      </x:c>
      <x:c r="AJ23" s="307" t="str">
        <x:f>IF(AND(AJ$7&gt;=$E23,AJ$7&lt;=$F23),1,"")</x:f>
      </x:c>
      <x:c r="AK23" s="307" t="str">
        <x:f>IF(AND(AK$7&gt;=$E23,AK$7&lt;=$F23),1,"")</x:f>
      </x:c>
      <x:c r="AL23" s="307" t="str">
        <x:f>IF(AND(AL$7&gt;=$E23,AL$7&lt;=$F23),1,"")</x:f>
      </x:c>
      <x:c r="AM23" s="307" t="n">
        <x:f>IF(AND(AM$7&gt;=$E23,AM$7&lt;=$F23),1,"")</x:f>
        <x:v>1</x:v>
      </x:c>
      <x:c r="AN23" s="307" t="n">
        <x:f>IF(AND(AN$7&gt;=$E23,AN$7&lt;=$F23),1,"")</x:f>
        <x:v>1</x:v>
      </x:c>
      <x:c r="AO23" s="307" t="n">
        <x:f>IF(AND(AO$7&gt;=$E23,AO$7&lt;=$F23),1,"")</x:f>
        <x:v>1</x:v>
      </x:c>
      <x:c r="AP23" s="307" t="n">
        <x:f>IF(AND(AP$7&gt;=$E23,AP$7&lt;=$F23),1,"")</x:f>
        <x:v>1</x:v>
      </x:c>
      <x:c r="AQ23" s="307" t="n">
        <x:f>IF(AND(AQ$7&gt;=$E23,AQ$7&lt;=$F23),1,"")</x:f>
        <x:v>1</x:v>
      </x:c>
      <x:c r="AR23" s="307" t="n">
        <x:f>IF(AND(AR$7&gt;=$E23,AR$7&lt;=$F23),1,"")</x:f>
        <x:v>1</x:v>
      </x:c>
      <x:c r="AS23" s="307" t="n">
        <x:f>IF(AND(AS$7&gt;=$E23,AS$7&lt;=$F23),1,"")</x:f>
        <x:v>1</x:v>
      </x:c>
      <x:c r="AT23" s="307" t="n">
        <x:f>IF(AND(AT$7&gt;=$E23,AT$7&lt;=$F23),1,"")</x:f>
        <x:v>1</x:v>
      </x:c>
      <x:c r="AU23" s="307" t="n">
        <x:f>IF(AND(AU$7&gt;=$E23,AU$7&lt;=$F23),1,"")</x:f>
        <x:v>1</x:v>
      </x:c>
      <x:c r="AV23" s="307" t="n">
        <x:f>IF(AND(AV$7&gt;=$E23,AV$7&lt;=$F23),1,"")</x:f>
        <x:v>1</x:v>
      </x:c>
      <x:c r="AW23" s="308" t="n">
        <x:f>IF(AND(AW$7&gt;=$E23,AW$7&lt;=$F23),1,"")</x:f>
        <x:v>1</x:v>
      </x:c>
      <x:c r="AX23" s="307" t="n">
        <x:f>IF(AND(AX$7&gt;=$E23,AX$7&lt;=$F23),1,"")</x:f>
        <x:v>1</x:v>
      </x:c>
      <x:c r="AY23" s="307" t="n">
        <x:f>IF(AND(AY$7&gt;=$E23,AY$7&lt;=$F23),1,"")</x:f>
        <x:v>1</x:v>
      </x:c>
      <x:c r="AZ23" s="307" t="n">
        <x:f>IF(AND(AZ$7&gt;=$E23,AZ$7&lt;=$F23),1,"")</x:f>
        <x:v>1</x:v>
      </x:c>
      <x:c r="BA23" s="307" t="n">
        <x:f>IF(AND(BA$7&gt;=$E23,BA$7&lt;=$F23),1,"")</x:f>
        <x:v>1</x:v>
      </x:c>
      <x:c r="BB23" s="307" t="n">
        <x:f>IF(AND(BB$7&gt;=$E23,BB$7&lt;=$F23),1,"")</x:f>
        <x:v>1</x:v>
      </x:c>
      <x:c r="BC23" s="307" t="n">
        <x:f>IF(AND(BC$7&gt;=$E23,BC$7&lt;=$F23),1,"")</x:f>
        <x:v>1</x:v>
      </x:c>
      <x:c r="BD23" s="307" t="n">
        <x:f>IF(AND(BD$7&gt;=$E23,BD$7&lt;=$F23),1,"")</x:f>
        <x:v>1</x:v>
      </x:c>
      <x:c r="BE23" s="307" t="n">
        <x:f>IF(AND(BE$7&gt;=$E23,BE$7&lt;=$F23),1,"")</x:f>
        <x:v>1</x:v>
      </x:c>
      <x:c r="BF23" s="307" t="n">
        <x:f>IF(AND(BF$7&gt;=$E23,BF$7&lt;=$F23),1,"")</x:f>
        <x:v>1</x:v>
      </x:c>
      <x:c r="BG23" s="307" t="n">
        <x:f>IF(AND(BG$7&gt;=$E23,BG$7&lt;=$F23),1,"")</x:f>
        <x:v>1</x:v>
      </x:c>
      <x:c r="BH23" s="307" t="n">
        <x:f>IF(AND(BH$7&gt;=$E23,BH$7&lt;=$F23),1,"")</x:f>
        <x:v>1</x:v>
      </x:c>
      <x:c r="BI23" s="307" t="n">
        <x:f>IF(AND(BI$7&gt;=$E23,BI$7&lt;=$F23),1,"")</x:f>
        <x:v>1</x:v>
      </x:c>
      <x:c r="BJ23" s="307" t="n">
        <x:f>IF(AND(BJ$7&gt;=$E23,BJ$7&lt;=$F23),1,"")</x:f>
        <x:v>1</x:v>
      </x:c>
      <x:c r="BK23" s="307" t="n">
        <x:f>IF(AND(BK$7&gt;=$E23,BK$7&lt;=$F23),1,"")</x:f>
        <x:v>1</x:v>
      </x:c>
      <x:c r="BL23" s="307" t="str">
        <x:f>IF(AND(BL$7&gt;=$E23,BL$7&lt;=$F23),1,"")</x:f>
      </x:c>
      <x:c r="BM23" s="307" t="str">
        <x:f>IF(AND(BM$7&gt;=$E23,BM$7&lt;=$F23),1,"")</x:f>
      </x:c>
      <x:c r="BN23" s="307" t="str">
        <x:f>IF(AND(BN$7&gt;=$E23,BN$7&lt;=$F23),1,"")</x:f>
      </x:c>
      <x:c r="BO23" s="307" t="str">
        <x:f>IF(AND(BO$7&gt;=$E23,BO$7&lt;=$F23),1,"")</x:f>
      </x:c>
      <x:c r="BP23" s="307" t="str">
        <x:f>IF(AND(BP$7&gt;=$E23,BP$7&lt;=$F23),1,"")</x:f>
      </x:c>
      <x:c r="BQ23" s="308" t="str">
        <x:f>IF(AND(BQ$7&gt;=$E23,BQ$7&lt;=$F23),1,"")</x:f>
      </x:c>
      <x:c r="BR23" s="307" t="str">
        <x:f>IF(AND(BR$7&gt;=$E23,BR$7&lt;=$F23),1,"")</x:f>
      </x:c>
      <x:c r="BS23" s="307" t="str">
        <x:f>IF(AND(BS$7&gt;=$E23,BS$7&lt;=$F23),1,"")</x:f>
      </x:c>
      <x:c r="BT23" s="307" t="str">
        <x:f>IF(AND(BT$7&gt;=$E23,BT$7&lt;=$F23),1,"")</x:f>
      </x:c>
      <x:c r="BU23" s="307" t="str">
        <x:f>IF(AND(BU$7&gt;=$E23,BU$7&lt;=$F23),1,"")</x:f>
      </x:c>
      <x:c r="BV23" s="307" t="str">
        <x:f>IF(AND(BV$7&gt;=$E23,BV$7&lt;=$F23),1,"")</x:f>
      </x:c>
      <x:c r="BW23" s="307" t="str">
        <x:f>IF(AND(BW$7&gt;=$E23,BW$7&lt;=$F23),1,"")</x:f>
      </x:c>
      <x:c r="BX23" s="307" t="str">
        <x:f>IF(AND(BX$7&gt;=$E23,BX$7&lt;=$F23),1,"")</x:f>
      </x:c>
      <x:c r="BY23" s="307" t="str">
        <x:f>IF(AND(BY$7&gt;=$E23,BY$7&lt;=$F23),1,"")</x:f>
      </x:c>
      <x:c r="BZ23" s="307" t="str">
        <x:f>IF(AND(BZ$7&gt;=$E23,BZ$7&lt;=$F23),1,"")</x:f>
      </x:c>
      <x:c r="CA23" s="307" t="str">
        <x:f>IF(AND(CA$7&gt;=$E23,CA$7&lt;=$F23),1,"")</x:f>
      </x:c>
      <x:c r="CB23" s="307" t="str">
        <x:f>IF(AND(CB$7&gt;=$E23,CB$7&lt;=$F23),1,"")</x:f>
      </x:c>
      <x:c r="CC23" s="307" t="str">
        <x:f>IF(AND(CC$7&gt;=$E23,CC$7&lt;=$F23),1,"")</x:f>
      </x:c>
      <x:c r="CD23" s="307" t="str">
        <x:f>IF(AND(CD$7&gt;=$E23,CD$7&lt;=$F23),1,"")</x:f>
      </x:c>
      <x:c r="CE23" s="307" t="str">
        <x:f>IF(AND(CE$7&gt;=$E23,CE$7&lt;=$F23),1,"")</x:f>
      </x:c>
      <x:c r="CF23" s="307" t="str">
        <x:f>IF(AND(CF$7&gt;=$E23,CF$7&lt;=$F23),1,"")</x:f>
      </x:c>
      <x:c r="CG23" s="307" t="str">
        <x:f>IF(AND(CG$7&gt;=$E23,CG$7&lt;=$F23),1,"")</x:f>
      </x:c>
      <x:c r="CH23" s="307" t="str">
        <x:f>IF(AND(CH$7&gt;=$E23,CH$7&lt;=$F23),1,"")</x:f>
      </x:c>
      <x:c r="CI23" s="307" t="str">
        <x:f>IF(AND(CI$7&gt;=$E23,CI$7&lt;=$F23),1,"")</x:f>
      </x:c>
      <x:c r="CJ23" s="307" t="str">
        <x:f>IF(AND(CJ$7&gt;=$E23,CJ$7&lt;=$F23),1,"")</x:f>
      </x:c>
      <x:c r="CK23" s="308" t="str">
        <x:f>IF(AND(CK$7&gt;=$E23,CK$7&lt;=$F23),1,"")</x:f>
      </x:c>
      <x:c r="CL23" s="307" t="str">
        <x:f>IF(AND(CL$7&gt;=$E23,CL$7&lt;=$F23),1,"")</x:f>
      </x:c>
      <x:c r="CM23" s="307" t="str">
        <x:f>IF(AND(CM$7&gt;=$E23,CM$7&lt;=$F23),1,"")</x:f>
      </x:c>
      <x:c r="CN23" s="307" t="str">
        <x:f>IF(AND(CN$7&gt;=$E23,CN$7&lt;=$F23),1,"")</x:f>
      </x:c>
      <x:c r="CO23" s="307" t="str">
        <x:f>IF(AND(CO$7&gt;=$E23,CO$7&lt;=$F23),1,"")</x:f>
      </x:c>
      <x:c r="CP23" s="18"/>
    </x:row>
    <x:row r="24" ht="20" customHeight="1">
      <x:c r="B24" s="41" t="str">
        <x:v>3.1</x:v>
      </x:c>
      <x:c r="C24" s="341" t="str">
        <x:v>Preparar proyecto, repositorio y estructura base</x:v>
      </x:c>
      <x:c r="D24" s="347" t="str">
        <x:v>Equipo CAPSTONE</x:v>
      </x:c>
      <x:c r="E24" s="228" t="n">
        <x:v>46286</x:v>
      </x:c>
      <x:c r="F24" s="229" t="n">
        <x:v>46290</x:v>
      </x:c>
      <x:c r="G24" s="75" t="n">
        <x:f t="shared" si="0">IF(OR(E24="",F24=""),"",NETWORKDAYS(E24,F24))</x:f>
        <x:v>5</x:v>
      </x:c>
      <x:c r="H24" s="243" t="n">
        <x:v>0</x:v>
      </x:c>
      <x:c r="I24" s="309" t="str">
        <x:f>IF(AND(I$7&gt;=$E24,I$7&lt;=$F24),1,"")</x:f>
      </x:c>
      <x:c r="J24" s="310" t="str">
        <x:f>IF(AND(J$7&gt;=$E24,J$7&lt;=$F24),1,"")</x:f>
      </x:c>
      <x:c r="K24" s="310" t="str">
        <x:f>IF(AND(K$7&gt;=$E24,K$7&lt;=$F24),1,"")</x:f>
      </x:c>
      <x:c r="L24" s="310" t="str">
        <x:f>IF(AND(L$7&gt;=$E24,L$7&lt;=$F24),1,"")</x:f>
      </x:c>
      <x:c r="M24" s="310" t="str">
        <x:f>IF(AND(M$7&gt;=$E24,M$7&lt;=$F24),1,"")</x:f>
      </x:c>
      <x:c r="N24" s="311" t="str">
        <x:f>IF(AND(N$7&gt;=$E24,N$7&lt;=$F24),1,"")</x:f>
      </x:c>
      <x:c r="O24" s="311" t="str">
        <x:f>IF(AND(O$7&gt;=$E24,O$7&lt;=$F24),1,"")</x:f>
      </x:c>
      <x:c r="P24" s="311" t="str">
        <x:f>IF(AND(P$7&gt;=$E24,P$7&lt;=$F24),1,"")</x:f>
      </x:c>
      <x:c r="Q24" s="311" t="str">
        <x:f>IF(AND(Q$7&gt;=$E24,Q$7&lt;=$F24),1,"")</x:f>
      </x:c>
      <x:c r="R24" s="311" t="str">
        <x:f>IF(AND(R$7&gt;=$E24,R$7&lt;=$F24),1,"")</x:f>
      </x:c>
      <x:c r="S24" s="310" t="str">
        <x:f>IF(AND(S$7&gt;=$E24,S$7&lt;=$F24),1,"")</x:f>
      </x:c>
      <x:c r="T24" s="310" t="str">
        <x:f>IF(AND(T$7&gt;=$E24,T$7&lt;=$F24),1,"")</x:f>
      </x:c>
      <x:c r="U24" s="310" t="str">
        <x:f>IF(AND(U$7&gt;=$E24,U$7&lt;=$F24),1,"")</x:f>
      </x:c>
      <x:c r="V24" s="310" t="str">
        <x:f>IF(AND(V$7&gt;=$E24,V$7&lt;=$F24),1,"")</x:f>
      </x:c>
      <x:c r="W24" s="310" t="str">
        <x:f>IF(AND(W$7&gt;=$E24,W$7&lt;=$F24),1,"")</x:f>
      </x:c>
      <x:c r="X24" s="311" t="str">
        <x:f>IF(AND(X$7&gt;=$E24,X$7&lt;=$F24),1,"")</x:f>
      </x:c>
      <x:c r="Y24" s="311" t="str">
        <x:f>IF(AND(Y$7&gt;=$E24,Y$7&lt;=$F24),1,"")</x:f>
      </x:c>
      <x:c r="Z24" s="311" t="str">
        <x:f>IF(AND(Z$7&gt;=$E24,Z$7&lt;=$F24),1,"")</x:f>
      </x:c>
      <x:c r="AA24" s="311" t="str">
        <x:f>IF(AND(AA$7&gt;=$E24,AA$7&lt;=$F24),1,"")</x:f>
      </x:c>
      <x:c r="AB24" s="311" t="str">
        <x:f>IF(AND(AB$7&gt;=$E24,AB$7&lt;=$F24),1,"")</x:f>
      </x:c>
      <x:c r="AC24" s="312" t="str">
        <x:f>IF(AND(AC$7&gt;=$E24,AC$7&lt;=$F24),1,"")</x:f>
      </x:c>
      <x:c r="AD24" s="310" t="str">
        <x:f>IF(AND(AD$7&gt;=$E24,AD$7&lt;=$F24),1,"")</x:f>
      </x:c>
      <x:c r="AE24" s="310" t="str">
        <x:f>IF(AND(AE$7&gt;=$E24,AE$7&lt;=$F24),1,"")</x:f>
      </x:c>
      <x:c r="AF24" s="310" t="str">
        <x:f>IF(AND(AF$7&gt;=$E24,AF$7&lt;=$F24),1,"")</x:f>
      </x:c>
      <x:c r="AG24" s="310" t="str">
        <x:f>IF(AND(AG$7&gt;=$E24,AG$7&lt;=$F24),1,"")</x:f>
      </x:c>
      <x:c r="AH24" s="313" t="str">
        <x:f>IF(AND(AH$7&gt;=$E24,AH$7&lt;=$F24),1,"")</x:f>
      </x:c>
      <x:c r="AI24" s="313" t="str">
        <x:f>IF(AND(AI$7&gt;=$E24,AI$7&lt;=$F24),1,"")</x:f>
      </x:c>
      <x:c r="AJ24" s="313" t="str">
        <x:f>IF(AND(AJ$7&gt;=$E24,AJ$7&lt;=$F24),1,"")</x:f>
      </x:c>
      <x:c r="AK24" s="313" t="str">
        <x:f>IF(AND(AK$7&gt;=$E24,AK$7&lt;=$F24),1,"")</x:f>
      </x:c>
      <x:c r="AL24" s="313" t="str">
        <x:f>IF(AND(AL$7&gt;=$E24,AL$7&lt;=$F24),1,"")</x:f>
      </x:c>
      <x:c r="AM24" s="310" t="n">
        <x:f>IF(AND(AM$7&gt;=$E24,AM$7&lt;=$F24),1,"")</x:f>
        <x:v>1</x:v>
      </x:c>
      <x:c r="AN24" s="310" t="n">
        <x:f>IF(AND(AN$7&gt;=$E24,AN$7&lt;=$F24),1,"")</x:f>
        <x:v>1</x:v>
      </x:c>
      <x:c r="AO24" s="310" t="n">
        <x:f>IF(AND(AO$7&gt;=$E24,AO$7&lt;=$F24),1,"")</x:f>
        <x:v>1</x:v>
      </x:c>
      <x:c r="AP24" s="310" t="n">
        <x:f>IF(AND(AP$7&gt;=$E24,AP$7&lt;=$F24),1,"")</x:f>
        <x:v>1</x:v>
      </x:c>
      <x:c r="AQ24" s="310" t="n">
        <x:f>IF(AND(AQ$7&gt;=$E24,AQ$7&lt;=$F24),1,"")</x:f>
        <x:v>1</x:v>
      </x:c>
      <x:c r="AR24" s="313" t="str">
        <x:f>IF(AND(AR$7&gt;=$E24,AR$7&lt;=$F24),1,"")</x:f>
      </x:c>
      <x:c r="AS24" s="313" t="str">
        <x:f>IF(AND(AS$7&gt;=$E24,AS$7&lt;=$F24),1,"")</x:f>
      </x:c>
      <x:c r="AT24" s="313" t="str">
        <x:f>IF(AND(AT$7&gt;=$E24,AT$7&lt;=$F24),1,"")</x:f>
      </x:c>
      <x:c r="AU24" s="313" t="str">
        <x:f>IF(AND(AU$7&gt;=$E24,AU$7&lt;=$F24),1,"")</x:f>
      </x:c>
      <x:c r="AV24" s="313" t="str">
        <x:f>IF(AND(AV$7&gt;=$E24,AV$7&lt;=$F24),1,"")</x:f>
      </x:c>
      <x:c r="AW24" s="312" t="str">
        <x:f>IF(AND(AW$7&gt;=$E24,AW$7&lt;=$F24),1,"")</x:f>
      </x:c>
      <x:c r="AX24" s="310" t="str">
        <x:f>IF(AND(AX$7&gt;=$E24,AX$7&lt;=$F24),1,"")</x:f>
      </x:c>
      <x:c r="AY24" s="310" t="str">
        <x:f>IF(AND(AY$7&gt;=$E24,AY$7&lt;=$F24),1,"")</x:f>
      </x:c>
      <x:c r="AZ24" s="310" t="str">
        <x:f>IF(AND(AZ$7&gt;=$E24,AZ$7&lt;=$F24),1,"")</x:f>
      </x:c>
      <x:c r="BA24" s="310" t="str">
        <x:f>IF(AND(BA$7&gt;=$E24,BA$7&lt;=$F24),1,"")</x:f>
      </x:c>
      <x:c r="BB24" s="314" t="str">
        <x:f>IF(AND(BB$7&gt;=$E24,BB$7&lt;=$F24),1,"")</x:f>
      </x:c>
      <x:c r="BC24" s="314" t="str">
        <x:f>IF(AND(BC$7&gt;=$E24,BC$7&lt;=$F24),1,"")</x:f>
      </x:c>
      <x:c r="BD24" s="314" t="str">
        <x:f>IF(AND(BD$7&gt;=$E24,BD$7&lt;=$F24),1,"")</x:f>
      </x:c>
      <x:c r="BE24" s="314" t="str">
        <x:f>IF(AND(BE$7&gt;=$E24,BE$7&lt;=$F24),1,"")</x:f>
      </x:c>
      <x:c r="BF24" s="314" t="str">
        <x:f>IF(AND(BF$7&gt;=$E24,BF$7&lt;=$F24),1,"")</x:f>
      </x:c>
      <x:c r="BG24" s="310" t="str">
        <x:f>IF(AND(BG$7&gt;=$E24,BG$7&lt;=$F24),1,"")</x:f>
      </x:c>
      <x:c r="BH24" s="310" t="str">
        <x:f>IF(AND(BH$7&gt;=$E24,BH$7&lt;=$F24),1,"")</x:f>
      </x:c>
      <x:c r="BI24" s="310" t="str">
        <x:f>IF(AND(BI$7&gt;=$E24,BI$7&lt;=$F24),1,"")</x:f>
      </x:c>
      <x:c r="BJ24" s="310" t="str">
        <x:f>IF(AND(BJ$7&gt;=$E24,BJ$7&lt;=$F24),1,"")</x:f>
      </x:c>
      <x:c r="BK24" s="310" t="str">
        <x:f>IF(AND(BK$7&gt;=$E24,BK$7&lt;=$F24),1,"")</x:f>
      </x:c>
      <x:c r="BL24" s="314" t="str">
        <x:f>IF(AND(BL$7&gt;=$E24,BL$7&lt;=$F24),1,"")</x:f>
      </x:c>
      <x:c r="BM24" s="314" t="str">
        <x:f>IF(AND(BM$7&gt;=$E24,BM$7&lt;=$F24),1,"")</x:f>
      </x:c>
      <x:c r="BN24" s="314" t="str">
        <x:f>IF(AND(BN$7&gt;=$E24,BN$7&lt;=$F24),1,"")</x:f>
      </x:c>
      <x:c r="BO24" s="314" t="str">
        <x:f>IF(AND(BO$7&gt;=$E24,BO$7&lt;=$F24),1,"")</x:f>
      </x:c>
      <x:c r="BP24" s="314" t="str">
        <x:f>IF(AND(BP$7&gt;=$E24,BP$7&lt;=$F24),1,"")</x:f>
      </x:c>
      <x:c r="BQ24" s="312" t="str">
        <x:f>IF(AND(BQ$7&gt;=$E24,BQ$7&lt;=$F24),1,"")</x:f>
      </x:c>
      <x:c r="BR24" s="310" t="str">
        <x:f>IF(AND(BR$7&gt;=$E24,BR$7&lt;=$F24),1,"")</x:f>
      </x:c>
      <x:c r="BS24" s="310" t="str">
        <x:f>IF(AND(BS$7&gt;=$E24,BS$7&lt;=$F24),1,"")</x:f>
      </x:c>
      <x:c r="BT24" s="310" t="str">
        <x:f>IF(AND(BT$7&gt;=$E24,BT$7&lt;=$F24),1,"")</x:f>
      </x:c>
      <x:c r="BU24" s="310" t="str">
        <x:f>IF(AND(BU$7&gt;=$E24,BU$7&lt;=$F24),1,"")</x:f>
      </x:c>
      <x:c r="BV24" s="315" t="str">
        <x:f>IF(AND(BV$7&gt;=$E24,BV$7&lt;=$F24),1,"")</x:f>
      </x:c>
      <x:c r="BW24" s="315" t="str">
        <x:f>IF(AND(BW$7&gt;=$E24,BW$7&lt;=$F24),1,"")</x:f>
      </x:c>
      <x:c r="BX24" s="315" t="str">
        <x:f>IF(AND(BX$7&gt;=$E24,BX$7&lt;=$F24),1,"")</x:f>
      </x:c>
      <x:c r="BY24" s="315" t="str">
        <x:f>IF(AND(BY$7&gt;=$E24,BY$7&lt;=$F24),1,"")</x:f>
      </x:c>
      <x:c r="BZ24" s="315" t="str">
        <x:f>IF(AND(BZ$7&gt;=$E24,BZ$7&lt;=$F24),1,"")</x:f>
      </x:c>
      <x:c r="CA24" s="310" t="str">
        <x:f>IF(AND(CA$7&gt;=$E24,CA$7&lt;=$F24),1,"")</x:f>
      </x:c>
      <x:c r="CB24" s="310" t="str">
        <x:f>IF(AND(CB$7&gt;=$E24,CB$7&lt;=$F24),1,"")</x:f>
      </x:c>
      <x:c r="CC24" s="310" t="str">
        <x:f>IF(AND(CC$7&gt;=$E24,CC$7&lt;=$F24),1,"")</x:f>
      </x:c>
      <x:c r="CD24" s="310" t="str">
        <x:f>IF(AND(CD$7&gt;=$E24,CD$7&lt;=$F24),1,"")</x:f>
      </x:c>
      <x:c r="CE24" s="310" t="str">
        <x:f>IF(AND(CE$7&gt;=$E24,CE$7&lt;=$F24),1,"")</x:f>
      </x:c>
      <x:c r="CF24" s="315" t="str">
        <x:f>IF(AND(CF$7&gt;=$E24,CF$7&lt;=$F24),1,"")</x:f>
      </x:c>
      <x:c r="CG24" s="315" t="str">
        <x:f>IF(AND(CG$7&gt;=$E24,CG$7&lt;=$F24),1,"")</x:f>
      </x:c>
      <x:c r="CH24" s="315" t="str">
        <x:f>IF(AND(CH$7&gt;=$E24,CH$7&lt;=$F24),1,"")</x:f>
      </x:c>
      <x:c r="CI24" s="315" t="str">
        <x:f>IF(AND(CI$7&gt;=$E24,CI$7&lt;=$F24),1,"")</x:f>
      </x:c>
      <x:c r="CJ24" s="315" t="str">
        <x:f>IF(AND(CJ$7&gt;=$E24,CJ$7&lt;=$F24),1,"")</x:f>
      </x:c>
      <x:c r="CK24" s="312" t="str">
        <x:f>IF(AND(CK$7&gt;=$E24,CK$7&lt;=$F24),1,"")</x:f>
      </x:c>
      <x:c r="CL24" s="310" t="str">
        <x:f>IF(AND(CL$7&gt;=$E24,CL$7&lt;=$F24),1,"")</x:f>
      </x:c>
      <x:c r="CM24" s="310" t="str">
        <x:f>IF(AND(CM$7&gt;=$E24,CM$7&lt;=$F24),1,"")</x:f>
      </x:c>
      <x:c r="CN24" s="310" t="str">
        <x:f>IF(AND(CN$7&gt;=$E24,CN$7&lt;=$F24),1,"")</x:f>
      </x:c>
      <x:c r="CO24" s="310" t="str">
        <x:f>IF(AND(CO$7&gt;=$E24,CO$7&lt;=$F24),1,"")</x:f>
      </x:c>
      <x:c r="CP24" s="20"/>
    </x:row>
    <x:row r="25" ht="20" customHeight="1">
      <x:c r="B25" s="41" t="str">
        <x:v>3.2</x:v>
      </x:c>
      <x:c r="C25" s="341" t="str">
        <x:v>Desarrollar Base de Conocimiento</x:v>
      </x:c>
      <x:c r="D25" s="347" t="str">
        <x:v>Equipo CAPSTONE</x:v>
      </x:c>
      <x:c r="E25" s="228" t="n">
        <x:v>46289</x:v>
      </x:c>
      <x:c r="F25" s="229" t="n">
        <x:v>46304</x:v>
      </x:c>
      <x:c r="G25" s="75" t="n">
        <x:f t="shared" si="0">IF(OR(E25="",F25=""),"",NETWORKDAYS(E25,F25))</x:f>
        <x:v>12</x:v>
      </x:c>
      <x:c r="H25" s="243" t="n">
        <x:v>0</x:v>
      </x:c>
      <x:c r="I25" s="309" t="str">
        <x:f>IF(AND(I$7&gt;=$E25,I$7&lt;=$F25),1,"")</x:f>
      </x:c>
      <x:c r="J25" s="310" t="str">
        <x:f>IF(AND(J$7&gt;=$E25,J$7&lt;=$F25),1,"")</x:f>
      </x:c>
      <x:c r="K25" s="310" t="str">
        <x:f>IF(AND(K$7&gt;=$E25,K$7&lt;=$F25),1,"")</x:f>
      </x:c>
      <x:c r="L25" s="310" t="str">
        <x:f>IF(AND(L$7&gt;=$E25,L$7&lt;=$F25),1,"")</x:f>
      </x:c>
      <x:c r="M25" s="310" t="str">
        <x:f>IF(AND(M$7&gt;=$E25,M$7&lt;=$F25),1,"")</x:f>
      </x:c>
      <x:c r="N25" s="311" t="str">
        <x:f>IF(AND(N$7&gt;=$E25,N$7&lt;=$F25),1,"")</x:f>
      </x:c>
      <x:c r="O25" s="311" t="str">
        <x:f>IF(AND(O$7&gt;=$E25,O$7&lt;=$F25),1,"")</x:f>
      </x:c>
      <x:c r="P25" s="311" t="str">
        <x:f>IF(AND(P$7&gt;=$E25,P$7&lt;=$F25),1,"")</x:f>
      </x:c>
      <x:c r="Q25" s="311" t="str">
        <x:f>IF(AND(Q$7&gt;=$E25,Q$7&lt;=$F25),1,"")</x:f>
      </x:c>
      <x:c r="R25" s="311" t="str">
        <x:f>IF(AND(R$7&gt;=$E25,R$7&lt;=$F25),1,"")</x:f>
      </x:c>
      <x:c r="S25" s="310" t="str">
        <x:f>IF(AND(S$7&gt;=$E25,S$7&lt;=$F25),1,"")</x:f>
      </x:c>
      <x:c r="T25" s="310" t="str">
        <x:f>IF(AND(T$7&gt;=$E25,T$7&lt;=$F25),1,"")</x:f>
      </x:c>
      <x:c r="U25" s="310" t="str">
        <x:f>IF(AND(U$7&gt;=$E25,U$7&lt;=$F25),1,"")</x:f>
      </x:c>
      <x:c r="V25" s="310" t="str">
        <x:f>IF(AND(V$7&gt;=$E25,V$7&lt;=$F25),1,"")</x:f>
      </x:c>
      <x:c r="W25" s="310" t="str">
        <x:f>IF(AND(W$7&gt;=$E25,W$7&lt;=$F25),1,"")</x:f>
      </x:c>
      <x:c r="X25" s="311" t="str">
        <x:f>IF(AND(X$7&gt;=$E25,X$7&lt;=$F25),1,"")</x:f>
      </x:c>
      <x:c r="Y25" s="311" t="str">
        <x:f>IF(AND(Y$7&gt;=$E25,Y$7&lt;=$F25),1,"")</x:f>
      </x:c>
      <x:c r="Z25" s="311" t="str">
        <x:f>IF(AND(Z$7&gt;=$E25,Z$7&lt;=$F25),1,"")</x:f>
      </x:c>
      <x:c r="AA25" s="311" t="str">
        <x:f>IF(AND(AA$7&gt;=$E25,AA$7&lt;=$F25),1,"")</x:f>
      </x:c>
      <x:c r="AB25" s="311" t="str">
        <x:f>IF(AND(AB$7&gt;=$E25,AB$7&lt;=$F25),1,"")</x:f>
      </x:c>
      <x:c r="AC25" s="312" t="str">
        <x:f>IF(AND(AC$7&gt;=$E25,AC$7&lt;=$F25),1,"")</x:f>
      </x:c>
      <x:c r="AD25" s="310" t="str">
        <x:f>IF(AND(AD$7&gt;=$E25,AD$7&lt;=$F25),1,"")</x:f>
      </x:c>
      <x:c r="AE25" s="310" t="str">
        <x:f>IF(AND(AE$7&gt;=$E25,AE$7&lt;=$F25),1,"")</x:f>
      </x:c>
      <x:c r="AF25" s="310" t="str">
        <x:f>IF(AND(AF$7&gt;=$E25,AF$7&lt;=$F25),1,"")</x:f>
      </x:c>
      <x:c r="AG25" s="310" t="str">
        <x:f>IF(AND(AG$7&gt;=$E25,AG$7&lt;=$F25),1,"")</x:f>
      </x:c>
      <x:c r="AH25" s="313" t="str">
        <x:f>IF(AND(AH$7&gt;=$E25,AH$7&lt;=$F25),1,"")</x:f>
      </x:c>
      <x:c r="AI25" s="313" t="str">
        <x:f>IF(AND(AI$7&gt;=$E25,AI$7&lt;=$F25),1,"")</x:f>
      </x:c>
      <x:c r="AJ25" s="313" t="str">
        <x:f>IF(AND(AJ$7&gt;=$E25,AJ$7&lt;=$F25),1,"")</x:f>
      </x:c>
      <x:c r="AK25" s="313" t="str">
        <x:f>IF(AND(AK$7&gt;=$E25,AK$7&lt;=$F25),1,"")</x:f>
      </x:c>
      <x:c r="AL25" s="313" t="str">
        <x:f>IF(AND(AL$7&gt;=$E25,AL$7&lt;=$F25),1,"")</x:f>
      </x:c>
      <x:c r="AM25" s="310" t="str">
        <x:f>IF(AND(AM$7&gt;=$E25,AM$7&lt;=$F25),1,"")</x:f>
      </x:c>
      <x:c r="AN25" s="310" t="str">
        <x:f>IF(AND(AN$7&gt;=$E25,AN$7&lt;=$F25),1,"")</x:f>
      </x:c>
      <x:c r="AO25" s="310" t="str">
        <x:f>IF(AND(AO$7&gt;=$E25,AO$7&lt;=$F25),1,"")</x:f>
      </x:c>
      <x:c r="AP25" s="310" t="n">
        <x:f>IF(AND(AP$7&gt;=$E25,AP$7&lt;=$F25),1,"")</x:f>
        <x:v>1</x:v>
      </x:c>
      <x:c r="AQ25" s="310" t="n">
        <x:f>IF(AND(AQ$7&gt;=$E25,AQ$7&lt;=$F25),1,"")</x:f>
        <x:v>1</x:v>
      </x:c>
      <x:c r="AR25" s="313" t="n">
        <x:f>IF(AND(AR$7&gt;=$E25,AR$7&lt;=$F25),1,"")</x:f>
        <x:v>1</x:v>
      </x:c>
      <x:c r="AS25" s="313" t="n">
        <x:f>IF(AND(AS$7&gt;=$E25,AS$7&lt;=$F25),1,"")</x:f>
        <x:v>1</x:v>
      </x:c>
      <x:c r="AT25" s="313" t="n">
        <x:f>IF(AND(AT$7&gt;=$E25,AT$7&lt;=$F25),1,"")</x:f>
        <x:v>1</x:v>
      </x:c>
      <x:c r="AU25" s="313" t="n">
        <x:f>IF(AND(AU$7&gt;=$E25,AU$7&lt;=$F25),1,"")</x:f>
        <x:v>1</x:v>
      </x:c>
      <x:c r="AV25" s="313" t="n">
        <x:f>IF(AND(AV$7&gt;=$E25,AV$7&lt;=$F25),1,"")</x:f>
        <x:v>1</x:v>
      </x:c>
      <x:c r="AW25" s="312" t="n">
        <x:f>IF(AND(AW$7&gt;=$E25,AW$7&lt;=$F25),1,"")</x:f>
        <x:v>1</x:v>
      </x:c>
      <x:c r="AX25" s="310" t="n">
        <x:f>IF(AND(AX$7&gt;=$E25,AX$7&lt;=$F25),1,"")</x:f>
        <x:v>1</x:v>
      </x:c>
      <x:c r="AY25" s="310" t="n">
        <x:f>IF(AND(AY$7&gt;=$E25,AY$7&lt;=$F25),1,"")</x:f>
        <x:v>1</x:v>
      </x:c>
      <x:c r="AZ25" s="310" t="n">
        <x:f>IF(AND(AZ$7&gt;=$E25,AZ$7&lt;=$F25),1,"")</x:f>
        <x:v>1</x:v>
      </x:c>
      <x:c r="BA25" s="310" t="n">
        <x:f>IF(AND(BA$7&gt;=$E25,BA$7&lt;=$F25),1,"")</x:f>
        <x:v>1</x:v>
      </x:c>
      <x:c r="BB25" s="314" t="str">
        <x:f>IF(AND(BB$7&gt;=$E25,BB$7&lt;=$F25),1,"")</x:f>
      </x:c>
      <x:c r="BC25" s="314" t="str">
        <x:f>IF(AND(BC$7&gt;=$E25,BC$7&lt;=$F25),1,"")</x:f>
      </x:c>
      <x:c r="BD25" s="314" t="str">
        <x:f>IF(AND(BD$7&gt;=$E25,BD$7&lt;=$F25),1,"")</x:f>
      </x:c>
      <x:c r="BE25" s="314" t="str">
        <x:f>IF(AND(BE$7&gt;=$E25,BE$7&lt;=$F25),1,"")</x:f>
      </x:c>
      <x:c r="BF25" s="314" t="str">
        <x:f>IF(AND(BF$7&gt;=$E25,BF$7&lt;=$F25),1,"")</x:f>
      </x:c>
      <x:c r="BG25" s="310" t="str">
        <x:f>IF(AND(BG$7&gt;=$E25,BG$7&lt;=$F25),1,"")</x:f>
      </x:c>
      <x:c r="BH25" s="310" t="str">
        <x:f>IF(AND(BH$7&gt;=$E25,BH$7&lt;=$F25),1,"")</x:f>
      </x:c>
      <x:c r="BI25" s="310" t="str">
        <x:f>IF(AND(BI$7&gt;=$E25,BI$7&lt;=$F25),1,"")</x:f>
      </x:c>
      <x:c r="BJ25" s="310" t="str">
        <x:f>IF(AND(BJ$7&gt;=$E25,BJ$7&lt;=$F25),1,"")</x:f>
      </x:c>
      <x:c r="BK25" s="310" t="str">
        <x:f>IF(AND(BK$7&gt;=$E25,BK$7&lt;=$F25),1,"")</x:f>
      </x:c>
      <x:c r="BL25" s="314" t="str">
        <x:f>IF(AND(BL$7&gt;=$E25,BL$7&lt;=$F25),1,"")</x:f>
      </x:c>
      <x:c r="BM25" s="314" t="str">
        <x:f>IF(AND(BM$7&gt;=$E25,BM$7&lt;=$F25),1,"")</x:f>
      </x:c>
      <x:c r="BN25" s="314" t="str">
        <x:f>IF(AND(BN$7&gt;=$E25,BN$7&lt;=$F25),1,"")</x:f>
      </x:c>
      <x:c r="BO25" s="314" t="str">
        <x:f>IF(AND(BO$7&gt;=$E25,BO$7&lt;=$F25),1,"")</x:f>
      </x:c>
      <x:c r="BP25" s="314" t="str">
        <x:f>IF(AND(BP$7&gt;=$E25,BP$7&lt;=$F25),1,"")</x:f>
      </x:c>
      <x:c r="BQ25" s="312" t="str">
        <x:f>IF(AND(BQ$7&gt;=$E25,BQ$7&lt;=$F25),1,"")</x:f>
      </x:c>
      <x:c r="BR25" s="310" t="str">
        <x:f>IF(AND(BR$7&gt;=$E25,BR$7&lt;=$F25),1,"")</x:f>
      </x:c>
      <x:c r="BS25" s="310" t="str">
        <x:f>IF(AND(BS$7&gt;=$E25,BS$7&lt;=$F25),1,"")</x:f>
      </x:c>
      <x:c r="BT25" s="310" t="str">
        <x:f>IF(AND(BT$7&gt;=$E25,BT$7&lt;=$F25),1,"")</x:f>
      </x:c>
      <x:c r="BU25" s="310" t="str">
        <x:f>IF(AND(BU$7&gt;=$E25,BU$7&lt;=$F25),1,"")</x:f>
      </x:c>
      <x:c r="BV25" s="315" t="str">
        <x:f>IF(AND(BV$7&gt;=$E25,BV$7&lt;=$F25),1,"")</x:f>
      </x:c>
      <x:c r="BW25" s="315" t="str">
        <x:f>IF(AND(BW$7&gt;=$E25,BW$7&lt;=$F25),1,"")</x:f>
      </x:c>
      <x:c r="BX25" s="315" t="str">
        <x:f>IF(AND(BX$7&gt;=$E25,BX$7&lt;=$F25),1,"")</x:f>
      </x:c>
      <x:c r="BY25" s="315" t="str">
        <x:f>IF(AND(BY$7&gt;=$E25,BY$7&lt;=$F25),1,"")</x:f>
      </x:c>
      <x:c r="BZ25" s="315" t="str">
        <x:f>IF(AND(BZ$7&gt;=$E25,BZ$7&lt;=$F25),1,"")</x:f>
      </x:c>
      <x:c r="CA25" s="310" t="str">
        <x:f>IF(AND(CA$7&gt;=$E25,CA$7&lt;=$F25),1,"")</x:f>
      </x:c>
      <x:c r="CB25" s="310" t="str">
        <x:f>IF(AND(CB$7&gt;=$E25,CB$7&lt;=$F25),1,"")</x:f>
      </x:c>
      <x:c r="CC25" s="310" t="str">
        <x:f>IF(AND(CC$7&gt;=$E25,CC$7&lt;=$F25),1,"")</x:f>
      </x:c>
      <x:c r="CD25" s="310" t="str">
        <x:f>IF(AND(CD$7&gt;=$E25,CD$7&lt;=$F25),1,"")</x:f>
      </x:c>
      <x:c r="CE25" s="310" t="str">
        <x:f>IF(AND(CE$7&gt;=$E25,CE$7&lt;=$F25),1,"")</x:f>
      </x:c>
      <x:c r="CF25" s="315" t="str">
        <x:f>IF(AND(CF$7&gt;=$E25,CF$7&lt;=$F25),1,"")</x:f>
      </x:c>
      <x:c r="CG25" s="315" t="str">
        <x:f>IF(AND(CG$7&gt;=$E25,CG$7&lt;=$F25),1,"")</x:f>
      </x:c>
      <x:c r="CH25" s="315" t="str">
        <x:f>IF(AND(CH$7&gt;=$E25,CH$7&lt;=$F25),1,"")</x:f>
      </x:c>
      <x:c r="CI25" s="315" t="str">
        <x:f>IF(AND(CI$7&gt;=$E25,CI$7&lt;=$F25),1,"")</x:f>
      </x:c>
      <x:c r="CJ25" s="315" t="str">
        <x:f>IF(AND(CJ$7&gt;=$E25,CJ$7&lt;=$F25),1,"")</x:f>
      </x:c>
      <x:c r="CK25" s="312" t="str">
        <x:f>IF(AND(CK$7&gt;=$E25,CK$7&lt;=$F25),1,"")</x:f>
      </x:c>
      <x:c r="CL25" s="310" t="str">
        <x:f>IF(AND(CL$7&gt;=$E25,CL$7&lt;=$F25),1,"")</x:f>
      </x:c>
      <x:c r="CM25" s="310" t="str">
        <x:f>IF(AND(CM$7&gt;=$E25,CM$7&lt;=$F25),1,"")</x:f>
      </x:c>
      <x:c r="CN25" s="310" t="str">
        <x:f>IF(AND(CN$7&gt;=$E25,CN$7&lt;=$F25),1,"")</x:f>
      </x:c>
      <x:c r="CO25" s="310" t="str">
        <x:f>IF(AND(CO$7&gt;=$E25,CO$7&lt;=$F25),1,"")</x:f>
      </x:c>
      <x:c r="CP25" s="20"/>
    </x:row>
    <x:row r="26" ht="20" customHeight="1">
      <x:c r="B26" s="41" t="str">
        <x:v>3.2.1</x:v>
      </x:c>
      <x:c r="C26" s="341" t="str">
        <x:v>Implementar registro, consulta y edición</x:v>
      </x:c>
      <x:c r="D26" s="347" t="str">
        <x:v>Equipo CAPSTONE</x:v>
      </x:c>
      <x:c r="E26" s="228" t="n">
        <x:v>46289</x:v>
      </x:c>
      <x:c r="F26" s="229" t="n">
        <x:v>46297</x:v>
      </x:c>
      <x:c r="G26" s="75" t="n">
        <x:f t="shared" si="0">IF(OR(E26="",F26=""),"",NETWORKDAYS(E26,F26))</x:f>
        <x:v>7</x:v>
      </x:c>
      <x:c r="H26" s="243" t="n">
        <x:v>0</x:v>
      </x:c>
      <x:c r="I26" s="309" t="str">
        <x:f>IF(AND(I$7&gt;=$E26,I$7&lt;=$F26),1,"")</x:f>
      </x:c>
      <x:c r="J26" s="310" t="str">
        <x:f>IF(AND(J$7&gt;=$E26,J$7&lt;=$F26),1,"")</x:f>
      </x:c>
      <x:c r="K26" s="310" t="str">
        <x:f>IF(AND(K$7&gt;=$E26,K$7&lt;=$F26),1,"")</x:f>
      </x:c>
      <x:c r="L26" s="310" t="str">
        <x:f>IF(AND(L$7&gt;=$E26,L$7&lt;=$F26),1,"")</x:f>
      </x:c>
      <x:c r="M26" s="310" t="str">
        <x:f>IF(AND(M$7&gt;=$E26,M$7&lt;=$F26),1,"")</x:f>
      </x:c>
      <x:c r="N26" s="311" t="str">
        <x:f>IF(AND(N$7&gt;=$E26,N$7&lt;=$F26),1,"")</x:f>
      </x:c>
      <x:c r="O26" s="311" t="str">
        <x:f>IF(AND(O$7&gt;=$E26,O$7&lt;=$F26),1,"")</x:f>
      </x:c>
      <x:c r="P26" s="311" t="str">
        <x:f>IF(AND(P$7&gt;=$E26,P$7&lt;=$F26),1,"")</x:f>
      </x:c>
      <x:c r="Q26" s="311" t="str">
        <x:f>IF(AND(Q$7&gt;=$E26,Q$7&lt;=$F26),1,"")</x:f>
      </x:c>
      <x:c r="R26" s="311" t="str">
        <x:f>IF(AND(R$7&gt;=$E26,R$7&lt;=$F26),1,"")</x:f>
      </x:c>
      <x:c r="S26" s="310" t="str">
        <x:f>IF(AND(S$7&gt;=$E26,S$7&lt;=$F26),1,"")</x:f>
      </x:c>
      <x:c r="T26" s="310" t="str">
        <x:f>IF(AND(T$7&gt;=$E26,T$7&lt;=$F26),1,"")</x:f>
      </x:c>
      <x:c r="U26" s="310" t="str">
        <x:f>IF(AND(U$7&gt;=$E26,U$7&lt;=$F26),1,"")</x:f>
      </x:c>
      <x:c r="V26" s="310" t="str">
        <x:f>IF(AND(V$7&gt;=$E26,V$7&lt;=$F26),1,"")</x:f>
      </x:c>
      <x:c r="W26" s="310" t="str">
        <x:f>IF(AND(W$7&gt;=$E26,W$7&lt;=$F26),1,"")</x:f>
      </x:c>
      <x:c r="X26" s="311" t="str">
        <x:f>IF(AND(X$7&gt;=$E26,X$7&lt;=$F26),1,"")</x:f>
      </x:c>
      <x:c r="Y26" s="311" t="str">
        <x:f>IF(AND(Y$7&gt;=$E26,Y$7&lt;=$F26),1,"")</x:f>
      </x:c>
      <x:c r="Z26" s="311" t="str">
        <x:f>IF(AND(Z$7&gt;=$E26,Z$7&lt;=$F26),1,"")</x:f>
      </x:c>
      <x:c r="AA26" s="311" t="str">
        <x:f>IF(AND(AA$7&gt;=$E26,AA$7&lt;=$F26),1,"")</x:f>
      </x:c>
      <x:c r="AB26" s="311" t="str">
        <x:f>IF(AND(AB$7&gt;=$E26,AB$7&lt;=$F26),1,"")</x:f>
      </x:c>
      <x:c r="AC26" s="312" t="str">
        <x:f>IF(AND(AC$7&gt;=$E26,AC$7&lt;=$F26),1,"")</x:f>
      </x:c>
      <x:c r="AD26" s="310" t="str">
        <x:f>IF(AND(AD$7&gt;=$E26,AD$7&lt;=$F26),1,"")</x:f>
      </x:c>
      <x:c r="AE26" s="310" t="str">
        <x:f>IF(AND(AE$7&gt;=$E26,AE$7&lt;=$F26),1,"")</x:f>
      </x:c>
      <x:c r="AF26" s="310" t="str">
        <x:f>IF(AND(AF$7&gt;=$E26,AF$7&lt;=$F26),1,"")</x:f>
      </x:c>
      <x:c r="AG26" s="310" t="str">
        <x:f>IF(AND(AG$7&gt;=$E26,AG$7&lt;=$F26),1,"")</x:f>
      </x:c>
      <x:c r="AH26" s="313" t="str">
        <x:f>IF(AND(AH$7&gt;=$E26,AH$7&lt;=$F26),1,"")</x:f>
      </x:c>
      <x:c r="AI26" s="313" t="str">
        <x:f>IF(AND(AI$7&gt;=$E26,AI$7&lt;=$F26),1,"")</x:f>
      </x:c>
      <x:c r="AJ26" s="313" t="str">
        <x:f>IF(AND(AJ$7&gt;=$E26,AJ$7&lt;=$F26),1,"")</x:f>
      </x:c>
      <x:c r="AK26" s="313" t="str">
        <x:f>IF(AND(AK$7&gt;=$E26,AK$7&lt;=$F26),1,"")</x:f>
      </x:c>
      <x:c r="AL26" s="313" t="str">
        <x:f>IF(AND(AL$7&gt;=$E26,AL$7&lt;=$F26),1,"")</x:f>
      </x:c>
      <x:c r="AM26" s="310" t="str">
        <x:f>IF(AND(AM$7&gt;=$E26,AM$7&lt;=$F26),1,"")</x:f>
      </x:c>
      <x:c r="AN26" s="310" t="str">
        <x:f>IF(AND(AN$7&gt;=$E26,AN$7&lt;=$F26),1,"")</x:f>
      </x:c>
      <x:c r="AO26" s="310" t="str">
        <x:f>IF(AND(AO$7&gt;=$E26,AO$7&lt;=$F26),1,"")</x:f>
      </x:c>
      <x:c r="AP26" s="310" t="n">
        <x:f>IF(AND(AP$7&gt;=$E26,AP$7&lt;=$F26),1,"")</x:f>
        <x:v>1</x:v>
      </x:c>
      <x:c r="AQ26" s="310" t="n">
        <x:f>IF(AND(AQ$7&gt;=$E26,AQ$7&lt;=$F26),1,"")</x:f>
        <x:v>1</x:v>
      </x:c>
      <x:c r="AR26" s="313" t="n">
        <x:f>IF(AND(AR$7&gt;=$E26,AR$7&lt;=$F26),1,"")</x:f>
        <x:v>1</x:v>
      </x:c>
      <x:c r="AS26" s="313" t="n">
        <x:f>IF(AND(AS$7&gt;=$E26,AS$7&lt;=$F26),1,"")</x:f>
        <x:v>1</x:v>
      </x:c>
      <x:c r="AT26" s="313" t="n">
        <x:f>IF(AND(AT$7&gt;=$E26,AT$7&lt;=$F26),1,"")</x:f>
        <x:v>1</x:v>
      </x:c>
      <x:c r="AU26" s="313" t="n">
        <x:f>IF(AND(AU$7&gt;=$E26,AU$7&lt;=$F26),1,"")</x:f>
        <x:v>1</x:v>
      </x:c>
      <x:c r="AV26" s="313" t="n">
        <x:f>IF(AND(AV$7&gt;=$E26,AV$7&lt;=$F26),1,"")</x:f>
        <x:v>1</x:v>
      </x:c>
      <x:c r="AW26" s="312" t="str">
        <x:f>IF(AND(AW$7&gt;=$E26,AW$7&lt;=$F26),1,"")</x:f>
      </x:c>
      <x:c r="AX26" s="310" t="str">
        <x:f>IF(AND(AX$7&gt;=$E26,AX$7&lt;=$F26),1,"")</x:f>
      </x:c>
      <x:c r="AY26" s="310" t="str">
        <x:f>IF(AND(AY$7&gt;=$E26,AY$7&lt;=$F26),1,"")</x:f>
      </x:c>
      <x:c r="AZ26" s="310" t="str">
        <x:f>IF(AND(AZ$7&gt;=$E26,AZ$7&lt;=$F26),1,"")</x:f>
      </x:c>
      <x:c r="BA26" s="310" t="str">
        <x:f>IF(AND(BA$7&gt;=$E26,BA$7&lt;=$F26),1,"")</x:f>
      </x:c>
      <x:c r="BB26" s="314" t="str">
        <x:f>IF(AND(BB$7&gt;=$E26,BB$7&lt;=$F26),1,"")</x:f>
      </x:c>
      <x:c r="BC26" s="314" t="str">
        <x:f>IF(AND(BC$7&gt;=$E26,BC$7&lt;=$F26),1,"")</x:f>
      </x:c>
      <x:c r="BD26" s="314" t="str">
        <x:f>IF(AND(BD$7&gt;=$E26,BD$7&lt;=$F26),1,"")</x:f>
      </x:c>
      <x:c r="BE26" s="314" t="str">
        <x:f>IF(AND(BE$7&gt;=$E26,BE$7&lt;=$F26),1,"")</x:f>
      </x:c>
      <x:c r="BF26" s="314" t="str">
        <x:f>IF(AND(BF$7&gt;=$E26,BF$7&lt;=$F26),1,"")</x:f>
      </x:c>
      <x:c r="BG26" s="310" t="str">
        <x:f>IF(AND(BG$7&gt;=$E26,BG$7&lt;=$F26),1,"")</x:f>
      </x:c>
      <x:c r="BH26" s="310" t="str">
        <x:f>IF(AND(BH$7&gt;=$E26,BH$7&lt;=$F26),1,"")</x:f>
      </x:c>
      <x:c r="BI26" s="310" t="str">
        <x:f>IF(AND(BI$7&gt;=$E26,BI$7&lt;=$F26),1,"")</x:f>
      </x:c>
      <x:c r="BJ26" s="310" t="str">
        <x:f>IF(AND(BJ$7&gt;=$E26,BJ$7&lt;=$F26),1,"")</x:f>
      </x:c>
      <x:c r="BK26" s="310" t="str">
        <x:f>IF(AND(BK$7&gt;=$E26,BK$7&lt;=$F26),1,"")</x:f>
      </x:c>
      <x:c r="BL26" s="314" t="str">
        <x:f>IF(AND(BL$7&gt;=$E26,BL$7&lt;=$F26),1,"")</x:f>
      </x:c>
      <x:c r="BM26" s="314" t="str">
        <x:f>IF(AND(BM$7&gt;=$E26,BM$7&lt;=$F26),1,"")</x:f>
      </x:c>
      <x:c r="BN26" s="314" t="str">
        <x:f>IF(AND(BN$7&gt;=$E26,BN$7&lt;=$F26),1,"")</x:f>
      </x:c>
      <x:c r="BO26" s="314" t="str">
        <x:f>IF(AND(BO$7&gt;=$E26,BO$7&lt;=$F26),1,"")</x:f>
      </x:c>
      <x:c r="BP26" s="314" t="str">
        <x:f>IF(AND(BP$7&gt;=$E26,BP$7&lt;=$F26),1,"")</x:f>
      </x:c>
      <x:c r="BQ26" s="312" t="str">
        <x:f>IF(AND(BQ$7&gt;=$E26,BQ$7&lt;=$F26),1,"")</x:f>
      </x:c>
      <x:c r="BR26" s="310" t="str">
        <x:f>IF(AND(BR$7&gt;=$E26,BR$7&lt;=$F26),1,"")</x:f>
      </x:c>
      <x:c r="BS26" s="310" t="str">
        <x:f>IF(AND(BS$7&gt;=$E26,BS$7&lt;=$F26),1,"")</x:f>
      </x:c>
      <x:c r="BT26" s="310" t="str">
        <x:f>IF(AND(BT$7&gt;=$E26,BT$7&lt;=$F26),1,"")</x:f>
      </x:c>
      <x:c r="BU26" s="310" t="str">
        <x:f>IF(AND(BU$7&gt;=$E26,BU$7&lt;=$F26),1,"")</x:f>
      </x:c>
      <x:c r="BV26" s="315" t="str">
        <x:f>IF(AND(BV$7&gt;=$E26,BV$7&lt;=$F26),1,"")</x:f>
      </x:c>
      <x:c r="BW26" s="315" t="str">
        <x:f>IF(AND(BW$7&gt;=$E26,BW$7&lt;=$F26),1,"")</x:f>
      </x:c>
      <x:c r="BX26" s="315" t="str">
        <x:f>IF(AND(BX$7&gt;=$E26,BX$7&lt;=$F26),1,"")</x:f>
      </x:c>
      <x:c r="BY26" s="315" t="str">
        <x:f>IF(AND(BY$7&gt;=$E26,BY$7&lt;=$F26),1,"")</x:f>
      </x:c>
      <x:c r="BZ26" s="315" t="str">
        <x:f>IF(AND(BZ$7&gt;=$E26,BZ$7&lt;=$F26),1,"")</x:f>
      </x:c>
      <x:c r="CA26" s="310" t="str">
        <x:f>IF(AND(CA$7&gt;=$E26,CA$7&lt;=$F26),1,"")</x:f>
      </x:c>
      <x:c r="CB26" s="310" t="str">
        <x:f>IF(AND(CB$7&gt;=$E26,CB$7&lt;=$F26),1,"")</x:f>
      </x:c>
      <x:c r="CC26" s="310" t="str">
        <x:f>IF(AND(CC$7&gt;=$E26,CC$7&lt;=$F26),1,"")</x:f>
      </x:c>
      <x:c r="CD26" s="310" t="str">
        <x:f>IF(AND(CD$7&gt;=$E26,CD$7&lt;=$F26),1,"")</x:f>
      </x:c>
      <x:c r="CE26" s="310" t="str">
        <x:f>IF(AND(CE$7&gt;=$E26,CE$7&lt;=$F26),1,"")</x:f>
      </x:c>
      <x:c r="CF26" s="315" t="str">
        <x:f>IF(AND(CF$7&gt;=$E26,CF$7&lt;=$F26),1,"")</x:f>
      </x:c>
      <x:c r="CG26" s="315" t="str">
        <x:f>IF(AND(CG$7&gt;=$E26,CG$7&lt;=$F26),1,"")</x:f>
      </x:c>
      <x:c r="CH26" s="315" t="str">
        <x:f>IF(AND(CH$7&gt;=$E26,CH$7&lt;=$F26),1,"")</x:f>
      </x:c>
      <x:c r="CI26" s="315" t="str">
        <x:f>IF(AND(CI$7&gt;=$E26,CI$7&lt;=$F26),1,"")</x:f>
      </x:c>
      <x:c r="CJ26" s="315" t="str">
        <x:f>IF(AND(CJ$7&gt;=$E26,CJ$7&lt;=$F26),1,"")</x:f>
      </x:c>
      <x:c r="CK26" s="312" t="str">
        <x:f>IF(AND(CK$7&gt;=$E26,CK$7&lt;=$F26),1,"")</x:f>
      </x:c>
      <x:c r="CL26" s="310" t="str">
        <x:f>IF(AND(CL$7&gt;=$E26,CL$7&lt;=$F26),1,"")</x:f>
      </x:c>
      <x:c r="CM26" s="310" t="str">
        <x:f>IF(AND(CM$7&gt;=$E26,CM$7&lt;=$F26),1,"")</x:f>
      </x:c>
      <x:c r="CN26" s="310" t="str">
        <x:f>IF(AND(CN$7&gt;=$E26,CN$7&lt;=$F26),1,"")</x:f>
      </x:c>
      <x:c r="CO26" s="310" t="str">
        <x:f>IF(AND(CO$7&gt;=$E26,CO$7&lt;=$F26),1,"")</x:f>
      </x:c>
      <x:c r="CP26" s="20"/>
    </x:row>
    <x:row r="27" ht="20" customHeight="1">
      <x:c r="B27" s="41" t="str">
        <x:v>3.2.2</x:v>
      </x:c>
      <x:c r="C27" s="341" t="str">
        <x:v>Implementar búsqueda, clasificación y adjuntos</x:v>
      </x:c>
      <x:c r="D27" s="347" t="str">
        <x:v>Equipo CAPSTONE</x:v>
      </x:c>
      <x:c r="E27" s="228" t="n">
        <x:v>46296</x:v>
      </x:c>
      <x:c r="F27" s="229" t="n">
        <x:v>46304</x:v>
      </x:c>
      <x:c r="G27" s="75" t="n">
        <x:f t="shared" si="0">IF(OR(E27="",F27=""),"",NETWORKDAYS(E27,F27))</x:f>
        <x:v>7</x:v>
      </x:c>
      <x:c r="H27" s="243" t="n">
        <x:v>0</x:v>
      </x:c>
      <x:c r="I27" s="309" t="str">
        <x:f>IF(AND(I$7&gt;=$E27,I$7&lt;=$F27),1,"")</x:f>
      </x:c>
      <x:c r="J27" s="310" t="str">
        <x:f>IF(AND(J$7&gt;=$E27,J$7&lt;=$F27),1,"")</x:f>
      </x:c>
      <x:c r="K27" s="310" t="str">
        <x:f>IF(AND(K$7&gt;=$E27,K$7&lt;=$F27),1,"")</x:f>
      </x:c>
      <x:c r="L27" s="310" t="str">
        <x:f>IF(AND(L$7&gt;=$E27,L$7&lt;=$F27),1,"")</x:f>
      </x:c>
      <x:c r="M27" s="310" t="str">
        <x:f>IF(AND(M$7&gt;=$E27,M$7&lt;=$F27),1,"")</x:f>
      </x:c>
      <x:c r="N27" s="311" t="str">
        <x:f>IF(AND(N$7&gt;=$E27,N$7&lt;=$F27),1,"")</x:f>
      </x:c>
      <x:c r="O27" s="311" t="str">
        <x:f>IF(AND(O$7&gt;=$E27,O$7&lt;=$F27),1,"")</x:f>
      </x:c>
      <x:c r="P27" s="311" t="str">
        <x:f>IF(AND(P$7&gt;=$E27,P$7&lt;=$F27),1,"")</x:f>
      </x:c>
      <x:c r="Q27" s="311" t="str">
        <x:f>IF(AND(Q$7&gt;=$E27,Q$7&lt;=$F27),1,"")</x:f>
      </x:c>
      <x:c r="R27" s="311" t="str">
        <x:f>IF(AND(R$7&gt;=$E27,R$7&lt;=$F27),1,"")</x:f>
      </x:c>
      <x:c r="S27" s="310" t="str">
        <x:f>IF(AND(S$7&gt;=$E27,S$7&lt;=$F27),1,"")</x:f>
      </x:c>
      <x:c r="T27" s="310" t="str">
        <x:f>IF(AND(T$7&gt;=$E27,T$7&lt;=$F27),1,"")</x:f>
      </x:c>
      <x:c r="U27" s="310" t="str">
        <x:f>IF(AND(U$7&gt;=$E27,U$7&lt;=$F27),1,"")</x:f>
      </x:c>
      <x:c r="V27" s="310" t="str">
        <x:f>IF(AND(V$7&gt;=$E27,V$7&lt;=$F27),1,"")</x:f>
      </x:c>
      <x:c r="W27" s="310" t="str">
        <x:f>IF(AND(W$7&gt;=$E27,W$7&lt;=$F27),1,"")</x:f>
      </x:c>
      <x:c r="X27" s="311" t="str">
        <x:f>IF(AND(X$7&gt;=$E27,X$7&lt;=$F27),1,"")</x:f>
      </x:c>
      <x:c r="Y27" s="311" t="str">
        <x:f>IF(AND(Y$7&gt;=$E27,Y$7&lt;=$F27),1,"")</x:f>
      </x:c>
      <x:c r="Z27" s="311" t="str">
        <x:f>IF(AND(Z$7&gt;=$E27,Z$7&lt;=$F27),1,"")</x:f>
      </x:c>
      <x:c r="AA27" s="311" t="str">
        <x:f>IF(AND(AA$7&gt;=$E27,AA$7&lt;=$F27),1,"")</x:f>
      </x:c>
      <x:c r="AB27" s="311" t="str">
        <x:f>IF(AND(AB$7&gt;=$E27,AB$7&lt;=$F27),1,"")</x:f>
      </x:c>
      <x:c r="AC27" s="312" t="str">
        <x:f>IF(AND(AC$7&gt;=$E27,AC$7&lt;=$F27),1,"")</x:f>
      </x:c>
      <x:c r="AD27" s="310" t="str">
        <x:f>IF(AND(AD$7&gt;=$E27,AD$7&lt;=$F27),1,"")</x:f>
      </x:c>
      <x:c r="AE27" s="310" t="str">
        <x:f>IF(AND(AE$7&gt;=$E27,AE$7&lt;=$F27),1,"")</x:f>
      </x:c>
      <x:c r="AF27" s="310" t="str">
        <x:f>IF(AND(AF$7&gt;=$E27,AF$7&lt;=$F27),1,"")</x:f>
      </x:c>
      <x:c r="AG27" s="310" t="str">
        <x:f>IF(AND(AG$7&gt;=$E27,AG$7&lt;=$F27),1,"")</x:f>
      </x:c>
      <x:c r="AH27" s="313" t="str">
        <x:f>IF(AND(AH$7&gt;=$E27,AH$7&lt;=$F27),1,"")</x:f>
      </x:c>
      <x:c r="AI27" s="313" t="str">
        <x:f>IF(AND(AI$7&gt;=$E27,AI$7&lt;=$F27),1,"")</x:f>
      </x:c>
      <x:c r="AJ27" s="313" t="str">
        <x:f>IF(AND(AJ$7&gt;=$E27,AJ$7&lt;=$F27),1,"")</x:f>
      </x:c>
      <x:c r="AK27" s="313" t="str">
        <x:f>IF(AND(AK$7&gt;=$E27,AK$7&lt;=$F27),1,"")</x:f>
      </x:c>
      <x:c r="AL27" s="313" t="str">
        <x:f>IF(AND(AL$7&gt;=$E27,AL$7&lt;=$F27),1,"")</x:f>
      </x:c>
      <x:c r="AM27" s="310" t="str">
        <x:f>IF(AND(AM$7&gt;=$E27,AM$7&lt;=$F27),1,"")</x:f>
      </x:c>
      <x:c r="AN27" s="310" t="str">
        <x:f>IF(AND(AN$7&gt;=$E27,AN$7&lt;=$F27),1,"")</x:f>
      </x:c>
      <x:c r="AO27" s="310" t="str">
        <x:f>IF(AND(AO$7&gt;=$E27,AO$7&lt;=$F27),1,"")</x:f>
      </x:c>
      <x:c r="AP27" s="310" t="str">
        <x:f>IF(AND(AP$7&gt;=$E27,AP$7&lt;=$F27),1,"")</x:f>
      </x:c>
      <x:c r="AQ27" s="310" t="str">
        <x:f>IF(AND(AQ$7&gt;=$E27,AQ$7&lt;=$F27),1,"")</x:f>
      </x:c>
      <x:c r="AR27" s="313" t="str">
        <x:f>IF(AND(AR$7&gt;=$E27,AR$7&lt;=$F27),1,"")</x:f>
      </x:c>
      <x:c r="AS27" s="313" t="str">
        <x:f>IF(AND(AS$7&gt;=$E27,AS$7&lt;=$F27),1,"")</x:f>
      </x:c>
      <x:c r="AT27" s="313" t="str">
        <x:f>IF(AND(AT$7&gt;=$E27,AT$7&lt;=$F27),1,"")</x:f>
      </x:c>
      <x:c r="AU27" s="313" t="n">
        <x:f>IF(AND(AU$7&gt;=$E27,AU$7&lt;=$F27),1,"")</x:f>
        <x:v>1</x:v>
      </x:c>
      <x:c r="AV27" s="313" t="n">
        <x:f>IF(AND(AV$7&gt;=$E27,AV$7&lt;=$F27),1,"")</x:f>
        <x:v>1</x:v>
      </x:c>
      <x:c r="AW27" s="312" t="n">
        <x:f>IF(AND(AW$7&gt;=$E27,AW$7&lt;=$F27),1,"")</x:f>
        <x:v>1</x:v>
      </x:c>
      <x:c r="AX27" s="310" t="n">
        <x:f>IF(AND(AX$7&gt;=$E27,AX$7&lt;=$F27),1,"")</x:f>
        <x:v>1</x:v>
      </x:c>
      <x:c r="AY27" s="310" t="n">
        <x:f>IF(AND(AY$7&gt;=$E27,AY$7&lt;=$F27),1,"")</x:f>
        <x:v>1</x:v>
      </x:c>
      <x:c r="AZ27" s="310" t="n">
        <x:f>IF(AND(AZ$7&gt;=$E27,AZ$7&lt;=$F27),1,"")</x:f>
        <x:v>1</x:v>
      </x:c>
      <x:c r="BA27" s="310" t="n">
        <x:f>IF(AND(BA$7&gt;=$E27,BA$7&lt;=$F27),1,"")</x:f>
        <x:v>1</x:v>
      </x:c>
      <x:c r="BB27" s="314" t="str">
        <x:f>IF(AND(BB$7&gt;=$E27,BB$7&lt;=$F27),1,"")</x:f>
      </x:c>
      <x:c r="BC27" s="314" t="str">
        <x:f>IF(AND(BC$7&gt;=$E27,BC$7&lt;=$F27),1,"")</x:f>
      </x:c>
      <x:c r="BD27" s="314" t="str">
        <x:f>IF(AND(BD$7&gt;=$E27,BD$7&lt;=$F27),1,"")</x:f>
      </x:c>
      <x:c r="BE27" s="314" t="str">
        <x:f>IF(AND(BE$7&gt;=$E27,BE$7&lt;=$F27),1,"")</x:f>
      </x:c>
      <x:c r="BF27" s="314" t="str">
        <x:f>IF(AND(BF$7&gt;=$E27,BF$7&lt;=$F27),1,"")</x:f>
      </x:c>
      <x:c r="BG27" s="310" t="str">
        <x:f>IF(AND(BG$7&gt;=$E27,BG$7&lt;=$F27),1,"")</x:f>
      </x:c>
      <x:c r="BH27" s="310" t="str">
        <x:f>IF(AND(BH$7&gt;=$E27,BH$7&lt;=$F27),1,"")</x:f>
      </x:c>
      <x:c r="BI27" s="310" t="str">
        <x:f>IF(AND(BI$7&gt;=$E27,BI$7&lt;=$F27),1,"")</x:f>
      </x:c>
      <x:c r="BJ27" s="310" t="str">
        <x:f>IF(AND(BJ$7&gt;=$E27,BJ$7&lt;=$F27),1,"")</x:f>
      </x:c>
      <x:c r="BK27" s="310" t="str">
        <x:f>IF(AND(BK$7&gt;=$E27,BK$7&lt;=$F27),1,"")</x:f>
      </x:c>
      <x:c r="BL27" s="314" t="str">
        <x:f>IF(AND(BL$7&gt;=$E27,BL$7&lt;=$F27),1,"")</x:f>
      </x:c>
      <x:c r="BM27" s="314" t="str">
        <x:f>IF(AND(BM$7&gt;=$E27,BM$7&lt;=$F27),1,"")</x:f>
      </x:c>
      <x:c r="BN27" s="314" t="str">
        <x:f>IF(AND(BN$7&gt;=$E27,BN$7&lt;=$F27),1,"")</x:f>
      </x:c>
      <x:c r="BO27" s="314" t="str">
        <x:f>IF(AND(BO$7&gt;=$E27,BO$7&lt;=$F27),1,"")</x:f>
      </x:c>
      <x:c r="BP27" s="314" t="str">
        <x:f>IF(AND(BP$7&gt;=$E27,BP$7&lt;=$F27),1,"")</x:f>
      </x:c>
      <x:c r="BQ27" s="312" t="str">
        <x:f>IF(AND(BQ$7&gt;=$E27,BQ$7&lt;=$F27),1,"")</x:f>
      </x:c>
      <x:c r="BR27" s="310" t="str">
        <x:f>IF(AND(BR$7&gt;=$E27,BR$7&lt;=$F27),1,"")</x:f>
      </x:c>
      <x:c r="BS27" s="310" t="str">
        <x:f>IF(AND(BS$7&gt;=$E27,BS$7&lt;=$F27),1,"")</x:f>
      </x:c>
      <x:c r="BT27" s="310" t="str">
        <x:f>IF(AND(BT$7&gt;=$E27,BT$7&lt;=$F27),1,"")</x:f>
      </x:c>
      <x:c r="BU27" s="310" t="str">
        <x:f>IF(AND(BU$7&gt;=$E27,BU$7&lt;=$F27),1,"")</x:f>
      </x:c>
      <x:c r="BV27" s="315" t="str">
        <x:f>IF(AND(BV$7&gt;=$E27,BV$7&lt;=$F27),1,"")</x:f>
      </x:c>
      <x:c r="BW27" s="315" t="str">
        <x:f>IF(AND(BW$7&gt;=$E27,BW$7&lt;=$F27),1,"")</x:f>
      </x:c>
      <x:c r="BX27" s="315" t="str">
        <x:f>IF(AND(BX$7&gt;=$E27,BX$7&lt;=$F27),1,"")</x:f>
      </x:c>
      <x:c r="BY27" s="315" t="str">
        <x:f>IF(AND(BY$7&gt;=$E27,BY$7&lt;=$F27),1,"")</x:f>
      </x:c>
      <x:c r="BZ27" s="315" t="str">
        <x:f>IF(AND(BZ$7&gt;=$E27,BZ$7&lt;=$F27),1,"")</x:f>
      </x:c>
      <x:c r="CA27" s="310" t="str">
        <x:f>IF(AND(CA$7&gt;=$E27,CA$7&lt;=$F27),1,"")</x:f>
      </x:c>
      <x:c r="CB27" s="310" t="str">
        <x:f>IF(AND(CB$7&gt;=$E27,CB$7&lt;=$F27),1,"")</x:f>
      </x:c>
      <x:c r="CC27" s="310" t="str">
        <x:f>IF(AND(CC$7&gt;=$E27,CC$7&lt;=$F27),1,"")</x:f>
      </x:c>
      <x:c r="CD27" s="310" t="str">
        <x:f>IF(AND(CD$7&gt;=$E27,CD$7&lt;=$F27),1,"")</x:f>
      </x:c>
      <x:c r="CE27" s="310" t="str">
        <x:f>IF(AND(CE$7&gt;=$E27,CE$7&lt;=$F27),1,"")</x:f>
      </x:c>
      <x:c r="CF27" s="315" t="str">
        <x:f>IF(AND(CF$7&gt;=$E27,CF$7&lt;=$F27),1,"")</x:f>
      </x:c>
      <x:c r="CG27" s="315" t="str">
        <x:f>IF(AND(CG$7&gt;=$E27,CG$7&lt;=$F27),1,"")</x:f>
      </x:c>
      <x:c r="CH27" s="315" t="str">
        <x:f>IF(AND(CH$7&gt;=$E27,CH$7&lt;=$F27),1,"")</x:f>
      </x:c>
      <x:c r="CI27" s="315" t="str">
        <x:f>IF(AND(CI$7&gt;=$E27,CI$7&lt;=$F27),1,"")</x:f>
      </x:c>
      <x:c r="CJ27" s="315" t="str">
        <x:f>IF(AND(CJ$7&gt;=$E27,CJ$7&lt;=$F27),1,"")</x:f>
      </x:c>
      <x:c r="CK27" s="312" t="str">
        <x:f>IF(AND(CK$7&gt;=$E27,CK$7&lt;=$F27),1,"")</x:f>
      </x:c>
      <x:c r="CL27" s="310" t="str">
        <x:f>IF(AND(CL$7&gt;=$E27,CL$7&lt;=$F27),1,"")</x:f>
      </x:c>
      <x:c r="CM27" s="310" t="str">
        <x:f>IF(AND(CM$7&gt;=$E27,CM$7&lt;=$F27),1,"")</x:f>
      </x:c>
      <x:c r="CN27" s="310" t="str">
        <x:f>IF(AND(CN$7&gt;=$E27,CN$7&lt;=$F27),1,"")</x:f>
      </x:c>
      <x:c r="CO27" s="310" t="str">
        <x:f>IF(AND(CO$7&gt;=$E27,CO$7&lt;=$F27),1,"")</x:f>
      </x:c>
      <x:c r="CP27" s="20"/>
    </x:row>
    <x:row r="28" ht="20" customHeight="1">
      <x:c r="B28" s="41" t="str">
        <x:v>3.3</x:v>
      </x:c>
      <x:c r="C28" s="341" t="str">
        <x:v>Desarrollar Procedimientos y Checklists</x:v>
      </x:c>
      <x:c r="D28" s="347" t="str">
        <x:v>Equipo CAPSTONE</x:v>
      </x:c>
      <x:c r="E28" s="228" t="n">
        <x:v>46303</x:v>
      </x:c>
      <x:c r="F28" s="229" t="n">
        <x:v>46318</x:v>
      </x:c>
      <x:c r="G28" s="75" t="n">
        <x:f t="shared" si="0">IF(OR(E28="",F28=""),"",NETWORKDAYS(E28,F28))</x:f>
        <x:v>12</x:v>
      </x:c>
      <x:c r="H28" s="243" t="n">
        <x:v>0</x:v>
      </x:c>
      <x:c r="I28" s="309" t="str">
        <x:f>IF(AND(I$7&gt;=$E28,I$7&lt;=$F28),1,"")</x:f>
      </x:c>
      <x:c r="J28" s="310" t="str">
        <x:f>IF(AND(J$7&gt;=$E28,J$7&lt;=$F28),1,"")</x:f>
      </x:c>
      <x:c r="K28" s="310" t="str">
        <x:f>IF(AND(K$7&gt;=$E28,K$7&lt;=$F28),1,"")</x:f>
      </x:c>
      <x:c r="L28" s="310" t="str">
        <x:f>IF(AND(L$7&gt;=$E28,L$7&lt;=$F28),1,"")</x:f>
      </x:c>
      <x:c r="M28" s="310" t="str">
        <x:f>IF(AND(M$7&gt;=$E28,M$7&lt;=$F28),1,"")</x:f>
      </x:c>
      <x:c r="N28" s="311" t="str">
        <x:f>IF(AND(N$7&gt;=$E28,N$7&lt;=$F28),1,"")</x:f>
      </x:c>
      <x:c r="O28" s="311" t="str">
        <x:f>IF(AND(O$7&gt;=$E28,O$7&lt;=$F28),1,"")</x:f>
      </x:c>
      <x:c r="P28" s="311" t="str">
        <x:f>IF(AND(P$7&gt;=$E28,P$7&lt;=$F28),1,"")</x:f>
      </x:c>
      <x:c r="Q28" s="311" t="str">
        <x:f>IF(AND(Q$7&gt;=$E28,Q$7&lt;=$F28),1,"")</x:f>
      </x:c>
      <x:c r="R28" s="311" t="str">
        <x:f>IF(AND(R$7&gt;=$E28,R$7&lt;=$F28),1,"")</x:f>
      </x:c>
      <x:c r="S28" s="310" t="str">
        <x:f>IF(AND(S$7&gt;=$E28,S$7&lt;=$F28),1,"")</x:f>
      </x:c>
      <x:c r="T28" s="310" t="str">
        <x:f>IF(AND(T$7&gt;=$E28,T$7&lt;=$F28),1,"")</x:f>
      </x:c>
      <x:c r="U28" s="310" t="str">
        <x:f>IF(AND(U$7&gt;=$E28,U$7&lt;=$F28),1,"")</x:f>
      </x:c>
      <x:c r="V28" s="310" t="str">
        <x:f>IF(AND(V$7&gt;=$E28,V$7&lt;=$F28),1,"")</x:f>
      </x:c>
      <x:c r="W28" s="310" t="str">
        <x:f>IF(AND(W$7&gt;=$E28,W$7&lt;=$F28),1,"")</x:f>
      </x:c>
      <x:c r="X28" s="311" t="str">
        <x:f>IF(AND(X$7&gt;=$E28,X$7&lt;=$F28),1,"")</x:f>
      </x:c>
      <x:c r="Y28" s="311" t="str">
        <x:f>IF(AND(Y$7&gt;=$E28,Y$7&lt;=$F28),1,"")</x:f>
      </x:c>
      <x:c r="Z28" s="311" t="str">
        <x:f>IF(AND(Z$7&gt;=$E28,Z$7&lt;=$F28),1,"")</x:f>
      </x:c>
      <x:c r="AA28" s="311" t="str">
        <x:f>IF(AND(AA$7&gt;=$E28,AA$7&lt;=$F28),1,"")</x:f>
      </x:c>
      <x:c r="AB28" s="311" t="str">
        <x:f>IF(AND(AB$7&gt;=$E28,AB$7&lt;=$F28),1,"")</x:f>
      </x:c>
      <x:c r="AC28" s="312" t="str">
        <x:f>IF(AND(AC$7&gt;=$E28,AC$7&lt;=$F28),1,"")</x:f>
      </x:c>
      <x:c r="AD28" s="310" t="str">
        <x:f>IF(AND(AD$7&gt;=$E28,AD$7&lt;=$F28),1,"")</x:f>
      </x:c>
      <x:c r="AE28" s="310" t="str">
        <x:f>IF(AND(AE$7&gt;=$E28,AE$7&lt;=$F28),1,"")</x:f>
      </x:c>
      <x:c r="AF28" s="310" t="str">
        <x:f>IF(AND(AF$7&gt;=$E28,AF$7&lt;=$F28),1,"")</x:f>
      </x:c>
      <x:c r="AG28" s="310" t="str">
        <x:f>IF(AND(AG$7&gt;=$E28,AG$7&lt;=$F28),1,"")</x:f>
      </x:c>
      <x:c r="AH28" s="313" t="str">
        <x:f>IF(AND(AH$7&gt;=$E28,AH$7&lt;=$F28),1,"")</x:f>
      </x:c>
      <x:c r="AI28" s="313" t="str">
        <x:f>IF(AND(AI$7&gt;=$E28,AI$7&lt;=$F28),1,"")</x:f>
      </x:c>
      <x:c r="AJ28" s="313" t="str">
        <x:f>IF(AND(AJ$7&gt;=$E28,AJ$7&lt;=$F28),1,"")</x:f>
      </x:c>
      <x:c r="AK28" s="313" t="str">
        <x:f>IF(AND(AK$7&gt;=$E28,AK$7&lt;=$F28),1,"")</x:f>
      </x:c>
      <x:c r="AL28" s="313" t="str">
        <x:f>IF(AND(AL$7&gt;=$E28,AL$7&lt;=$F28),1,"")</x:f>
      </x:c>
      <x:c r="AM28" s="310" t="str">
        <x:f>IF(AND(AM$7&gt;=$E28,AM$7&lt;=$F28),1,"")</x:f>
      </x:c>
      <x:c r="AN28" s="310" t="str">
        <x:f>IF(AND(AN$7&gt;=$E28,AN$7&lt;=$F28),1,"")</x:f>
      </x:c>
      <x:c r="AO28" s="310" t="str">
        <x:f>IF(AND(AO$7&gt;=$E28,AO$7&lt;=$F28),1,"")</x:f>
      </x:c>
      <x:c r="AP28" s="310" t="str">
        <x:f>IF(AND(AP$7&gt;=$E28,AP$7&lt;=$F28),1,"")</x:f>
      </x:c>
      <x:c r="AQ28" s="310" t="str">
        <x:f>IF(AND(AQ$7&gt;=$E28,AQ$7&lt;=$F28),1,"")</x:f>
      </x:c>
      <x:c r="AR28" s="313" t="str">
        <x:f>IF(AND(AR$7&gt;=$E28,AR$7&lt;=$F28),1,"")</x:f>
      </x:c>
      <x:c r="AS28" s="313" t="str">
        <x:f>IF(AND(AS$7&gt;=$E28,AS$7&lt;=$F28),1,"")</x:f>
      </x:c>
      <x:c r="AT28" s="313" t="str">
        <x:f>IF(AND(AT$7&gt;=$E28,AT$7&lt;=$F28),1,"")</x:f>
      </x:c>
      <x:c r="AU28" s="313" t="str">
        <x:f>IF(AND(AU$7&gt;=$E28,AU$7&lt;=$F28),1,"")</x:f>
      </x:c>
      <x:c r="AV28" s="313" t="str">
        <x:f>IF(AND(AV$7&gt;=$E28,AV$7&lt;=$F28),1,"")</x:f>
      </x:c>
      <x:c r="AW28" s="312" t="str">
        <x:f>IF(AND(AW$7&gt;=$E28,AW$7&lt;=$F28),1,"")</x:f>
      </x:c>
      <x:c r="AX28" s="310" t="str">
        <x:f>IF(AND(AX$7&gt;=$E28,AX$7&lt;=$F28),1,"")</x:f>
      </x:c>
      <x:c r="AY28" s="310" t="str">
        <x:f>IF(AND(AY$7&gt;=$E28,AY$7&lt;=$F28),1,"")</x:f>
      </x:c>
      <x:c r="AZ28" s="310" t="n">
        <x:f>IF(AND(AZ$7&gt;=$E28,AZ$7&lt;=$F28),1,"")</x:f>
        <x:v>1</x:v>
      </x:c>
      <x:c r="BA28" s="310" t="n">
        <x:f>IF(AND(BA$7&gt;=$E28,BA$7&lt;=$F28),1,"")</x:f>
        <x:v>1</x:v>
      </x:c>
      <x:c r="BB28" s="314" t="n">
        <x:f>IF(AND(BB$7&gt;=$E28,BB$7&lt;=$F28),1,"")</x:f>
        <x:v>1</x:v>
      </x:c>
      <x:c r="BC28" s="314" t="n">
        <x:f>IF(AND(BC$7&gt;=$E28,BC$7&lt;=$F28),1,"")</x:f>
        <x:v>1</x:v>
      </x:c>
      <x:c r="BD28" s="314" t="n">
        <x:f>IF(AND(BD$7&gt;=$E28,BD$7&lt;=$F28),1,"")</x:f>
        <x:v>1</x:v>
      </x:c>
      <x:c r="BE28" s="314" t="n">
        <x:f>IF(AND(BE$7&gt;=$E28,BE$7&lt;=$F28),1,"")</x:f>
        <x:v>1</x:v>
      </x:c>
      <x:c r="BF28" s="314" t="n">
        <x:f>IF(AND(BF$7&gt;=$E28,BF$7&lt;=$F28),1,"")</x:f>
        <x:v>1</x:v>
      </x:c>
      <x:c r="BG28" s="310" t="n">
        <x:f>IF(AND(BG$7&gt;=$E28,BG$7&lt;=$F28),1,"")</x:f>
        <x:v>1</x:v>
      </x:c>
      <x:c r="BH28" s="310" t="n">
        <x:f>IF(AND(BH$7&gt;=$E28,BH$7&lt;=$F28),1,"")</x:f>
        <x:v>1</x:v>
      </x:c>
      <x:c r="BI28" s="310" t="n">
        <x:f>IF(AND(BI$7&gt;=$E28,BI$7&lt;=$F28),1,"")</x:f>
        <x:v>1</x:v>
      </x:c>
      <x:c r="BJ28" s="310" t="n">
        <x:f>IF(AND(BJ$7&gt;=$E28,BJ$7&lt;=$F28),1,"")</x:f>
        <x:v>1</x:v>
      </x:c>
      <x:c r="BK28" s="310" t="n">
        <x:f>IF(AND(BK$7&gt;=$E28,BK$7&lt;=$F28),1,"")</x:f>
        <x:v>1</x:v>
      </x:c>
      <x:c r="BL28" s="314" t="str">
        <x:f>IF(AND(BL$7&gt;=$E28,BL$7&lt;=$F28),1,"")</x:f>
      </x:c>
      <x:c r="BM28" s="314" t="str">
        <x:f>IF(AND(BM$7&gt;=$E28,BM$7&lt;=$F28),1,"")</x:f>
      </x:c>
      <x:c r="BN28" s="314" t="str">
        <x:f>IF(AND(BN$7&gt;=$E28,BN$7&lt;=$F28),1,"")</x:f>
      </x:c>
      <x:c r="BO28" s="314" t="str">
        <x:f>IF(AND(BO$7&gt;=$E28,BO$7&lt;=$F28),1,"")</x:f>
      </x:c>
      <x:c r="BP28" s="314" t="str">
        <x:f>IF(AND(BP$7&gt;=$E28,BP$7&lt;=$F28),1,"")</x:f>
      </x:c>
      <x:c r="BQ28" s="312" t="str">
        <x:f>IF(AND(BQ$7&gt;=$E28,BQ$7&lt;=$F28),1,"")</x:f>
      </x:c>
      <x:c r="BR28" s="310" t="str">
        <x:f>IF(AND(BR$7&gt;=$E28,BR$7&lt;=$F28),1,"")</x:f>
      </x:c>
      <x:c r="BS28" s="310" t="str">
        <x:f>IF(AND(BS$7&gt;=$E28,BS$7&lt;=$F28),1,"")</x:f>
      </x:c>
      <x:c r="BT28" s="310" t="str">
        <x:f>IF(AND(BT$7&gt;=$E28,BT$7&lt;=$F28),1,"")</x:f>
      </x:c>
      <x:c r="BU28" s="310" t="str">
        <x:f>IF(AND(BU$7&gt;=$E28,BU$7&lt;=$F28),1,"")</x:f>
      </x:c>
      <x:c r="BV28" s="315" t="str">
        <x:f>IF(AND(BV$7&gt;=$E28,BV$7&lt;=$F28),1,"")</x:f>
      </x:c>
      <x:c r="BW28" s="315" t="str">
        <x:f>IF(AND(BW$7&gt;=$E28,BW$7&lt;=$F28),1,"")</x:f>
      </x:c>
      <x:c r="BX28" s="315" t="str">
        <x:f>IF(AND(BX$7&gt;=$E28,BX$7&lt;=$F28),1,"")</x:f>
      </x:c>
      <x:c r="BY28" s="315" t="str">
        <x:f>IF(AND(BY$7&gt;=$E28,BY$7&lt;=$F28),1,"")</x:f>
      </x:c>
      <x:c r="BZ28" s="315" t="str">
        <x:f>IF(AND(BZ$7&gt;=$E28,BZ$7&lt;=$F28),1,"")</x:f>
      </x:c>
      <x:c r="CA28" s="310" t="str">
        <x:f>IF(AND(CA$7&gt;=$E28,CA$7&lt;=$F28),1,"")</x:f>
      </x:c>
      <x:c r="CB28" s="310" t="str">
        <x:f>IF(AND(CB$7&gt;=$E28,CB$7&lt;=$F28),1,"")</x:f>
      </x:c>
      <x:c r="CC28" s="310" t="str">
        <x:f>IF(AND(CC$7&gt;=$E28,CC$7&lt;=$F28),1,"")</x:f>
      </x:c>
      <x:c r="CD28" s="310" t="str">
        <x:f>IF(AND(CD$7&gt;=$E28,CD$7&lt;=$F28),1,"")</x:f>
      </x:c>
      <x:c r="CE28" s="310" t="str">
        <x:f>IF(AND(CE$7&gt;=$E28,CE$7&lt;=$F28),1,"")</x:f>
      </x:c>
      <x:c r="CF28" s="315" t="str">
        <x:f>IF(AND(CF$7&gt;=$E28,CF$7&lt;=$F28),1,"")</x:f>
      </x:c>
      <x:c r="CG28" s="315" t="str">
        <x:f>IF(AND(CG$7&gt;=$E28,CG$7&lt;=$F28),1,"")</x:f>
      </x:c>
      <x:c r="CH28" s="315" t="str">
        <x:f>IF(AND(CH$7&gt;=$E28,CH$7&lt;=$F28),1,"")</x:f>
      </x:c>
      <x:c r="CI28" s="315" t="str">
        <x:f>IF(AND(CI$7&gt;=$E28,CI$7&lt;=$F28),1,"")</x:f>
      </x:c>
      <x:c r="CJ28" s="315" t="str">
        <x:f>IF(AND(CJ$7&gt;=$E28,CJ$7&lt;=$F28),1,"")</x:f>
      </x:c>
      <x:c r="CK28" s="312" t="str">
        <x:f>IF(AND(CK$7&gt;=$E28,CK$7&lt;=$F28),1,"")</x:f>
      </x:c>
      <x:c r="CL28" s="310" t="str">
        <x:f>IF(AND(CL$7&gt;=$E28,CL$7&lt;=$F28),1,"")</x:f>
      </x:c>
      <x:c r="CM28" s="310" t="str">
        <x:f>IF(AND(CM$7&gt;=$E28,CM$7&lt;=$F28),1,"")</x:f>
      </x:c>
      <x:c r="CN28" s="310" t="str">
        <x:f>IF(AND(CN$7&gt;=$E28,CN$7&lt;=$F28),1,"")</x:f>
      </x:c>
      <x:c r="CO28" s="310" t="str">
        <x:f>IF(AND(CO$7&gt;=$E28,CO$7&lt;=$F28),1,"")</x:f>
      </x:c>
      <x:c r="CP28" s="20"/>
    </x:row>
    <x:row r="29" ht="20" customHeight="1">
      <x:c r="B29" s="41" t="str">
        <x:v>3.3.1</x:v>
      </x:c>
      <x:c r="C29" s="341" t="str">
        <x:v>Implementar pasos, ejecución y seguimiento</x:v>
      </x:c>
      <x:c r="D29" s="347" t="str">
        <x:v>Equipo CAPSTONE</x:v>
      </x:c>
      <x:c r="E29" s="228" t="n">
        <x:v>46307</x:v>
      </x:c>
      <x:c r="F29" s="229" t="n">
        <x:v>46318</x:v>
      </x:c>
      <x:c r="G29" s="75" t="n">
        <x:f t="shared" si="0">IF(OR(E29="",F29=""),"",NETWORKDAYS(E29,F29))</x:f>
        <x:v>10</x:v>
      </x:c>
      <x:c r="H29" s="243" t="n">
        <x:v>0</x:v>
      </x:c>
      <x:c r="I29" s="309" t="str">
        <x:f>IF(AND(I$7&gt;=$E29,I$7&lt;=$F29),1,"")</x:f>
      </x:c>
      <x:c r="J29" s="310" t="str">
        <x:f>IF(AND(J$7&gt;=$E29,J$7&lt;=$F29),1,"")</x:f>
      </x:c>
      <x:c r="K29" s="310" t="str">
        <x:f>IF(AND(K$7&gt;=$E29,K$7&lt;=$F29),1,"")</x:f>
      </x:c>
      <x:c r="L29" s="310" t="str">
        <x:f>IF(AND(L$7&gt;=$E29,L$7&lt;=$F29),1,"")</x:f>
      </x:c>
      <x:c r="M29" s="310" t="str">
        <x:f>IF(AND(M$7&gt;=$E29,M$7&lt;=$F29),1,"")</x:f>
      </x:c>
      <x:c r="N29" s="311" t="str">
        <x:f>IF(AND(N$7&gt;=$E29,N$7&lt;=$F29),1,"")</x:f>
      </x:c>
      <x:c r="O29" s="311" t="str">
        <x:f>IF(AND(O$7&gt;=$E29,O$7&lt;=$F29),1,"")</x:f>
      </x:c>
      <x:c r="P29" s="311" t="str">
        <x:f>IF(AND(P$7&gt;=$E29,P$7&lt;=$F29),1,"")</x:f>
      </x:c>
      <x:c r="Q29" s="311" t="str">
        <x:f>IF(AND(Q$7&gt;=$E29,Q$7&lt;=$F29),1,"")</x:f>
      </x:c>
      <x:c r="R29" s="311" t="str">
        <x:f>IF(AND(R$7&gt;=$E29,R$7&lt;=$F29),1,"")</x:f>
      </x:c>
      <x:c r="S29" s="310" t="str">
        <x:f>IF(AND(S$7&gt;=$E29,S$7&lt;=$F29),1,"")</x:f>
      </x:c>
      <x:c r="T29" s="310" t="str">
        <x:f>IF(AND(T$7&gt;=$E29,T$7&lt;=$F29),1,"")</x:f>
      </x:c>
      <x:c r="U29" s="310" t="str">
        <x:f>IF(AND(U$7&gt;=$E29,U$7&lt;=$F29),1,"")</x:f>
      </x:c>
      <x:c r="V29" s="310" t="str">
        <x:f>IF(AND(V$7&gt;=$E29,V$7&lt;=$F29),1,"")</x:f>
      </x:c>
      <x:c r="W29" s="310" t="str">
        <x:f>IF(AND(W$7&gt;=$E29,W$7&lt;=$F29),1,"")</x:f>
      </x:c>
      <x:c r="X29" s="311" t="str">
        <x:f>IF(AND(X$7&gt;=$E29,X$7&lt;=$F29),1,"")</x:f>
      </x:c>
      <x:c r="Y29" s="311" t="str">
        <x:f>IF(AND(Y$7&gt;=$E29,Y$7&lt;=$F29),1,"")</x:f>
      </x:c>
      <x:c r="Z29" s="311" t="str">
        <x:f>IF(AND(Z$7&gt;=$E29,Z$7&lt;=$F29),1,"")</x:f>
      </x:c>
      <x:c r="AA29" s="311" t="str">
        <x:f>IF(AND(AA$7&gt;=$E29,AA$7&lt;=$F29),1,"")</x:f>
      </x:c>
      <x:c r="AB29" s="311" t="str">
        <x:f>IF(AND(AB$7&gt;=$E29,AB$7&lt;=$F29),1,"")</x:f>
      </x:c>
      <x:c r="AC29" s="312" t="str">
        <x:f>IF(AND(AC$7&gt;=$E29,AC$7&lt;=$F29),1,"")</x:f>
      </x:c>
      <x:c r="AD29" s="310" t="str">
        <x:f>IF(AND(AD$7&gt;=$E29,AD$7&lt;=$F29),1,"")</x:f>
      </x:c>
      <x:c r="AE29" s="310" t="str">
        <x:f>IF(AND(AE$7&gt;=$E29,AE$7&lt;=$F29),1,"")</x:f>
      </x:c>
      <x:c r="AF29" s="310" t="str">
        <x:f>IF(AND(AF$7&gt;=$E29,AF$7&lt;=$F29),1,"")</x:f>
      </x:c>
      <x:c r="AG29" s="310" t="str">
        <x:f>IF(AND(AG$7&gt;=$E29,AG$7&lt;=$F29),1,"")</x:f>
      </x:c>
      <x:c r="AH29" s="313" t="str">
        <x:f>IF(AND(AH$7&gt;=$E29,AH$7&lt;=$F29),1,"")</x:f>
      </x:c>
      <x:c r="AI29" s="313" t="str">
        <x:f>IF(AND(AI$7&gt;=$E29,AI$7&lt;=$F29),1,"")</x:f>
      </x:c>
      <x:c r="AJ29" s="313" t="str">
        <x:f>IF(AND(AJ$7&gt;=$E29,AJ$7&lt;=$F29),1,"")</x:f>
      </x:c>
      <x:c r="AK29" s="313" t="str">
        <x:f>IF(AND(AK$7&gt;=$E29,AK$7&lt;=$F29),1,"")</x:f>
      </x:c>
      <x:c r="AL29" s="313" t="str">
        <x:f>IF(AND(AL$7&gt;=$E29,AL$7&lt;=$F29),1,"")</x:f>
      </x:c>
      <x:c r="AM29" s="310" t="str">
        <x:f>IF(AND(AM$7&gt;=$E29,AM$7&lt;=$F29),1,"")</x:f>
      </x:c>
      <x:c r="AN29" s="310" t="str">
        <x:f>IF(AND(AN$7&gt;=$E29,AN$7&lt;=$F29),1,"")</x:f>
      </x:c>
      <x:c r="AO29" s="310" t="str">
        <x:f>IF(AND(AO$7&gt;=$E29,AO$7&lt;=$F29),1,"")</x:f>
      </x:c>
      <x:c r="AP29" s="310" t="str">
        <x:f>IF(AND(AP$7&gt;=$E29,AP$7&lt;=$F29),1,"")</x:f>
      </x:c>
      <x:c r="AQ29" s="310" t="str">
        <x:f>IF(AND(AQ$7&gt;=$E29,AQ$7&lt;=$F29),1,"")</x:f>
      </x:c>
      <x:c r="AR29" s="313" t="str">
        <x:f>IF(AND(AR$7&gt;=$E29,AR$7&lt;=$F29),1,"")</x:f>
      </x:c>
      <x:c r="AS29" s="313" t="str">
        <x:f>IF(AND(AS$7&gt;=$E29,AS$7&lt;=$F29),1,"")</x:f>
      </x:c>
      <x:c r="AT29" s="313" t="str">
        <x:f>IF(AND(AT$7&gt;=$E29,AT$7&lt;=$F29),1,"")</x:f>
      </x:c>
      <x:c r="AU29" s="313" t="str">
        <x:f>IF(AND(AU$7&gt;=$E29,AU$7&lt;=$F29),1,"")</x:f>
      </x:c>
      <x:c r="AV29" s="313" t="str">
        <x:f>IF(AND(AV$7&gt;=$E29,AV$7&lt;=$F29),1,"")</x:f>
      </x:c>
      <x:c r="AW29" s="312" t="str">
        <x:f>IF(AND(AW$7&gt;=$E29,AW$7&lt;=$F29),1,"")</x:f>
      </x:c>
      <x:c r="AX29" s="310" t="str">
        <x:f>IF(AND(AX$7&gt;=$E29,AX$7&lt;=$F29),1,"")</x:f>
      </x:c>
      <x:c r="AY29" s="310" t="str">
        <x:f>IF(AND(AY$7&gt;=$E29,AY$7&lt;=$F29),1,"")</x:f>
      </x:c>
      <x:c r="AZ29" s="310" t="str">
        <x:f>IF(AND(AZ$7&gt;=$E29,AZ$7&lt;=$F29),1,"")</x:f>
      </x:c>
      <x:c r="BA29" s="310" t="str">
        <x:f>IF(AND(BA$7&gt;=$E29,BA$7&lt;=$F29),1,"")</x:f>
      </x:c>
      <x:c r="BB29" s="314" t="n">
        <x:f>IF(AND(BB$7&gt;=$E29,BB$7&lt;=$F29),1,"")</x:f>
        <x:v>1</x:v>
      </x:c>
      <x:c r="BC29" s="314" t="n">
        <x:f>IF(AND(BC$7&gt;=$E29,BC$7&lt;=$F29),1,"")</x:f>
        <x:v>1</x:v>
      </x:c>
      <x:c r="BD29" s="314" t="n">
        <x:f>IF(AND(BD$7&gt;=$E29,BD$7&lt;=$F29),1,"")</x:f>
        <x:v>1</x:v>
      </x:c>
      <x:c r="BE29" s="314" t="n">
        <x:f>IF(AND(BE$7&gt;=$E29,BE$7&lt;=$F29),1,"")</x:f>
        <x:v>1</x:v>
      </x:c>
      <x:c r="BF29" s="314" t="n">
        <x:f>IF(AND(BF$7&gt;=$E29,BF$7&lt;=$F29),1,"")</x:f>
        <x:v>1</x:v>
      </x:c>
      <x:c r="BG29" s="310" t="n">
        <x:f>IF(AND(BG$7&gt;=$E29,BG$7&lt;=$F29),1,"")</x:f>
        <x:v>1</x:v>
      </x:c>
      <x:c r="BH29" s="310" t="n">
        <x:f>IF(AND(BH$7&gt;=$E29,BH$7&lt;=$F29),1,"")</x:f>
        <x:v>1</x:v>
      </x:c>
      <x:c r="BI29" s="310" t="n">
        <x:f>IF(AND(BI$7&gt;=$E29,BI$7&lt;=$F29),1,"")</x:f>
        <x:v>1</x:v>
      </x:c>
      <x:c r="BJ29" s="310" t="n">
        <x:f>IF(AND(BJ$7&gt;=$E29,BJ$7&lt;=$F29),1,"")</x:f>
        <x:v>1</x:v>
      </x:c>
      <x:c r="BK29" s="310" t="n">
        <x:f>IF(AND(BK$7&gt;=$E29,BK$7&lt;=$F29),1,"")</x:f>
        <x:v>1</x:v>
      </x:c>
      <x:c r="BL29" s="314" t="str">
        <x:f>IF(AND(BL$7&gt;=$E29,BL$7&lt;=$F29),1,"")</x:f>
      </x:c>
      <x:c r="BM29" s="314" t="str">
        <x:f>IF(AND(BM$7&gt;=$E29,BM$7&lt;=$F29),1,"")</x:f>
      </x:c>
      <x:c r="BN29" s="314" t="str">
        <x:f>IF(AND(BN$7&gt;=$E29,BN$7&lt;=$F29),1,"")</x:f>
      </x:c>
      <x:c r="BO29" s="314" t="str">
        <x:f>IF(AND(BO$7&gt;=$E29,BO$7&lt;=$F29),1,"")</x:f>
      </x:c>
      <x:c r="BP29" s="314" t="str">
        <x:f>IF(AND(BP$7&gt;=$E29,BP$7&lt;=$F29),1,"")</x:f>
      </x:c>
      <x:c r="BQ29" s="312" t="str">
        <x:f>IF(AND(BQ$7&gt;=$E29,BQ$7&lt;=$F29),1,"")</x:f>
      </x:c>
      <x:c r="BR29" s="310" t="str">
        <x:f>IF(AND(BR$7&gt;=$E29,BR$7&lt;=$F29),1,"")</x:f>
      </x:c>
      <x:c r="BS29" s="310" t="str">
        <x:f>IF(AND(BS$7&gt;=$E29,BS$7&lt;=$F29),1,"")</x:f>
      </x:c>
      <x:c r="BT29" s="310" t="str">
        <x:f>IF(AND(BT$7&gt;=$E29,BT$7&lt;=$F29),1,"")</x:f>
      </x:c>
      <x:c r="BU29" s="310" t="str">
        <x:f>IF(AND(BU$7&gt;=$E29,BU$7&lt;=$F29),1,"")</x:f>
      </x:c>
      <x:c r="BV29" s="315" t="str">
        <x:f>IF(AND(BV$7&gt;=$E29,BV$7&lt;=$F29),1,"")</x:f>
      </x:c>
      <x:c r="BW29" s="315" t="str">
        <x:f>IF(AND(BW$7&gt;=$E29,BW$7&lt;=$F29),1,"")</x:f>
      </x:c>
      <x:c r="BX29" s="315" t="str">
        <x:f>IF(AND(BX$7&gt;=$E29,BX$7&lt;=$F29),1,"")</x:f>
      </x:c>
      <x:c r="BY29" s="315" t="str">
        <x:f>IF(AND(BY$7&gt;=$E29,BY$7&lt;=$F29),1,"")</x:f>
      </x:c>
      <x:c r="BZ29" s="315" t="str">
        <x:f>IF(AND(BZ$7&gt;=$E29,BZ$7&lt;=$F29),1,"")</x:f>
      </x:c>
      <x:c r="CA29" s="310" t="str">
        <x:f>IF(AND(CA$7&gt;=$E29,CA$7&lt;=$F29),1,"")</x:f>
      </x:c>
      <x:c r="CB29" s="310" t="str">
        <x:f>IF(AND(CB$7&gt;=$E29,CB$7&lt;=$F29),1,"")</x:f>
      </x:c>
      <x:c r="CC29" s="310" t="str">
        <x:f>IF(AND(CC$7&gt;=$E29,CC$7&lt;=$F29),1,"")</x:f>
      </x:c>
      <x:c r="CD29" s="310" t="str">
        <x:f>IF(AND(CD$7&gt;=$E29,CD$7&lt;=$F29),1,"")</x:f>
      </x:c>
      <x:c r="CE29" s="310" t="str">
        <x:f>IF(AND(CE$7&gt;=$E29,CE$7&lt;=$F29),1,"")</x:f>
      </x:c>
      <x:c r="CF29" s="315" t="str">
        <x:f>IF(AND(CF$7&gt;=$E29,CF$7&lt;=$F29),1,"")</x:f>
      </x:c>
      <x:c r="CG29" s="315" t="str">
        <x:f>IF(AND(CG$7&gt;=$E29,CG$7&lt;=$F29),1,"")</x:f>
      </x:c>
      <x:c r="CH29" s="315" t="str">
        <x:f>IF(AND(CH$7&gt;=$E29,CH$7&lt;=$F29),1,"")</x:f>
      </x:c>
      <x:c r="CI29" s="315" t="str">
        <x:f>IF(AND(CI$7&gt;=$E29,CI$7&lt;=$F29),1,"")</x:f>
      </x:c>
      <x:c r="CJ29" s="315" t="str">
        <x:f>IF(AND(CJ$7&gt;=$E29,CJ$7&lt;=$F29),1,"")</x:f>
      </x:c>
      <x:c r="CK29" s="312" t="str">
        <x:f>IF(AND(CK$7&gt;=$E29,CK$7&lt;=$F29),1,"")</x:f>
      </x:c>
      <x:c r="CL29" s="310" t="str">
        <x:f>IF(AND(CL$7&gt;=$E29,CL$7&lt;=$F29),1,"")</x:f>
      </x:c>
      <x:c r="CM29" s="310" t="str">
        <x:f>IF(AND(CM$7&gt;=$E29,CM$7&lt;=$F29),1,"")</x:f>
      </x:c>
      <x:c r="CN29" s="310" t="str">
        <x:f>IF(AND(CN$7&gt;=$E29,CN$7&lt;=$F29),1,"")</x:f>
      </x:c>
      <x:c r="CO29" s="310" t="str">
        <x:f>IF(AND(CO$7&gt;=$E29,CO$7&lt;=$F29),1,"")</x:f>
      </x:c>
      <x:c r="CP29" s="20"/>
    </x:row>
    <x:row r="30" ht="20" customHeight="1">
      <x:c r="B30" s="41" t="str">
        <x:v>4</x:v>
      </x:c>
      <x:c r="C30" s="342" t="str">
        <x:v>FASE 4 — PRUEBAS Y VALIDACIÓN</x:v>
      </x:c>
      <x:c r="D30" s="348" t="str">
        <x:v>Equipo CAPSTONE</x:v>
      </x:c>
      <x:c r="E30" s="230" t="n">
        <x:v>46321</x:v>
      </x:c>
      <x:c r="F30" s="231" t="n">
        <x:v>46346</x:v>
      </x:c>
      <x:c r="G30" s="48" t="n">
        <x:f t="shared" si="0">IF(OR(E30="",F30=""),"",NETWORKDAYS(E30,F30))</x:f>
        <x:v>20</x:v>
      </x:c>
      <x:c r="H30" s="244" t="n">
        <x:v>0</x:v>
      </x:c>
      <x:c r="I30" s="306" t="str">
        <x:f>IF(AND(I$7&gt;=$E30,I$7&lt;=$F30),1,"")</x:f>
      </x:c>
      <x:c r="J30" s="307" t="str">
        <x:f>IF(AND(J$7&gt;=$E30,J$7&lt;=$F30),1,"")</x:f>
      </x:c>
      <x:c r="K30" s="307" t="str">
        <x:f>IF(AND(K$7&gt;=$E30,K$7&lt;=$F30),1,"")</x:f>
      </x:c>
      <x:c r="L30" s="307" t="str">
        <x:f>IF(AND(L$7&gt;=$E30,L$7&lt;=$F30),1,"")</x:f>
      </x:c>
      <x:c r="M30" s="307" t="str">
        <x:f>IF(AND(M$7&gt;=$E30,M$7&lt;=$F30),1,"")</x:f>
      </x:c>
      <x:c r="N30" s="307" t="str">
        <x:f>IF(AND(N$7&gt;=$E30,N$7&lt;=$F30),1,"")</x:f>
      </x:c>
      <x:c r="O30" s="307" t="str">
        <x:f>IF(AND(O$7&gt;=$E30,O$7&lt;=$F30),1,"")</x:f>
      </x:c>
      <x:c r="P30" s="307" t="str">
        <x:f>IF(AND(P$7&gt;=$E30,P$7&lt;=$F30),1,"")</x:f>
      </x:c>
      <x:c r="Q30" s="307" t="str">
        <x:f>IF(AND(Q$7&gt;=$E30,Q$7&lt;=$F30),1,"")</x:f>
      </x:c>
      <x:c r="R30" s="307" t="str">
        <x:f>IF(AND(R$7&gt;=$E30,R$7&lt;=$F30),1,"")</x:f>
      </x:c>
      <x:c r="S30" s="307" t="str">
        <x:f>IF(AND(S$7&gt;=$E30,S$7&lt;=$F30),1,"")</x:f>
      </x:c>
      <x:c r="T30" s="307" t="str">
        <x:f>IF(AND(T$7&gt;=$E30,T$7&lt;=$F30),1,"")</x:f>
      </x:c>
      <x:c r="U30" s="307" t="str">
        <x:f>IF(AND(U$7&gt;=$E30,U$7&lt;=$F30),1,"")</x:f>
      </x:c>
      <x:c r="V30" s="307" t="str">
        <x:f>IF(AND(V$7&gt;=$E30,V$7&lt;=$F30),1,"")</x:f>
      </x:c>
      <x:c r="W30" s="307" t="str">
        <x:f>IF(AND(W$7&gt;=$E30,W$7&lt;=$F30),1,"")</x:f>
      </x:c>
      <x:c r="X30" s="307" t="str">
        <x:f>IF(AND(X$7&gt;=$E30,X$7&lt;=$F30),1,"")</x:f>
      </x:c>
      <x:c r="Y30" s="307" t="str">
        <x:f>IF(AND(Y$7&gt;=$E30,Y$7&lt;=$F30),1,"")</x:f>
      </x:c>
      <x:c r="Z30" s="307" t="str">
        <x:f>IF(AND(Z$7&gt;=$E30,Z$7&lt;=$F30),1,"")</x:f>
      </x:c>
      <x:c r="AA30" s="307" t="str">
        <x:f>IF(AND(AA$7&gt;=$E30,AA$7&lt;=$F30),1,"")</x:f>
      </x:c>
      <x:c r="AB30" s="307" t="str">
        <x:f>IF(AND(AB$7&gt;=$E30,AB$7&lt;=$F30),1,"")</x:f>
      </x:c>
      <x:c r="AC30" s="308" t="str">
        <x:f>IF(AND(AC$7&gt;=$E30,AC$7&lt;=$F30),1,"")</x:f>
      </x:c>
      <x:c r="AD30" s="307" t="str">
        <x:f>IF(AND(AD$7&gt;=$E30,AD$7&lt;=$F30),1,"")</x:f>
      </x:c>
      <x:c r="AE30" s="307" t="str">
        <x:f>IF(AND(AE$7&gt;=$E30,AE$7&lt;=$F30),1,"")</x:f>
      </x:c>
      <x:c r="AF30" s="307" t="str">
        <x:f>IF(AND(AF$7&gt;=$E30,AF$7&lt;=$F30),1,"")</x:f>
      </x:c>
      <x:c r="AG30" s="307" t="str">
        <x:f>IF(AND(AG$7&gt;=$E30,AG$7&lt;=$F30),1,"")</x:f>
      </x:c>
      <x:c r="AH30" s="307" t="str">
        <x:f>IF(AND(AH$7&gt;=$E30,AH$7&lt;=$F30),1,"")</x:f>
      </x:c>
      <x:c r="AI30" s="307" t="str">
        <x:f>IF(AND(AI$7&gt;=$E30,AI$7&lt;=$F30),1,"")</x:f>
      </x:c>
      <x:c r="AJ30" s="307" t="str">
        <x:f>IF(AND(AJ$7&gt;=$E30,AJ$7&lt;=$F30),1,"")</x:f>
      </x:c>
      <x:c r="AK30" s="307" t="str">
        <x:f>IF(AND(AK$7&gt;=$E30,AK$7&lt;=$F30),1,"")</x:f>
      </x:c>
      <x:c r="AL30" s="307" t="str">
        <x:f>IF(AND(AL$7&gt;=$E30,AL$7&lt;=$F30),1,"")</x:f>
      </x:c>
      <x:c r="AM30" s="307" t="str">
        <x:f>IF(AND(AM$7&gt;=$E30,AM$7&lt;=$F30),1,"")</x:f>
      </x:c>
      <x:c r="AN30" s="307" t="str">
        <x:f>IF(AND(AN$7&gt;=$E30,AN$7&lt;=$F30),1,"")</x:f>
      </x:c>
      <x:c r="AO30" s="307" t="str">
        <x:f>IF(AND(AO$7&gt;=$E30,AO$7&lt;=$F30),1,"")</x:f>
      </x:c>
      <x:c r="AP30" s="307" t="str">
        <x:f>IF(AND(AP$7&gt;=$E30,AP$7&lt;=$F30),1,"")</x:f>
      </x:c>
      <x:c r="AQ30" s="307" t="str">
        <x:f>IF(AND(AQ$7&gt;=$E30,AQ$7&lt;=$F30),1,"")</x:f>
      </x:c>
      <x:c r="AR30" s="307" t="str">
        <x:f>IF(AND(AR$7&gt;=$E30,AR$7&lt;=$F30),1,"")</x:f>
      </x:c>
      <x:c r="AS30" s="307" t="str">
        <x:f>IF(AND(AS$7&gt;=$E30,AS$7&lt;=$F30),1,"")</x:f>
      </x:c>
      <x:c r="AT30" s="307" t="str">
        <x:f>IF(AND(AT$7&gt;=$E30,AT$7&lt;=$F30),1,"")</x:f>
      </x:c>
      <x:c r="AU30" s="307" t="str">
        <x:f>IF(AND(AU$7&gt;=$E30,AU$7&lt;=$F30),1,"")</x:f>
      </x:c>
      <x:c r="AV30" s="307" t="str">
        <x:f>IF(AND(AV$7&gt;=$E30,AV$7&lt;=$F30),1,"")</x:f>
      </x:c>
      <x:c r="AW30" s="308" t="str">
        <x:f>IF(AND(AW$7&gt;=$E30,AW$7&lt;=$F30),1,"")</x:f>
      </x:c>
      <x:c r="AX30" s="307" t="str">
        <x:f>IF(AND(AX$7&gt;=$E30,AX$7&lt;=$F30),1,"")</x:f>
      </x:c>
      <x:c r="AY30" s="307" t="str">
        <x:f>IF(AND(AY$7&gt;=$E30,AY$7&lt;=$F30),1,"")</x:f>
      </x:c>
      <x:c r="AZ30" s="307" t="str">
        <x:f>IF(AND(AZ$7&gt;=$E30,AZ$7&lt;=$F30),1,"")</x:f>
      </x:c>
      <x:c r="BA30" s="307" t="str">
        <x:f>IF(AND(BA$7&gt;=$E30,BA$7&lt;=$F30),1,"")</x:f>
      </x:c>
      <x:c r="BB30" s="307" t="str">
        <x:f>IF(AND(BB$7&gt;=$E30,BB$7&lt;=$F30),1,"")</x:f>
      </x:c>
      <x:c r="BC30" s="307" t="str">
        <x:f>IF(AND(BC$7&gt;=$E30,BC$7&lt;=$F30),1,"")</x:f>
      </x:c>
      <x:c r="BD30" s="307" t="str">
        <x:f>IF(AND(BD$7&gt;=$E30,BD$7&lt;=$F30),1,"")</x:f>
      </x:c>
      <x:c r="BE30" s="307" t="str">
        <x:f>IF(AND(BE$7&gt;=$E30,BE$7&lt;=$F30),1,"")</x:f>
      </x:c>
      <x:c r="BF30" s="307" t="str">
        <x:f>IF(AND(BF$7&gt;=$E30,BF$7&lt;=$F30),1,"")</x:f>
      </x:c>
      <x:c r="BG30" s="307" t="str">
        <x:f>IF(AND(BG$7&gt;=$E30,BG$7&lt;=$F30),1,"")</x:f>
      </x:c>
      <x:c r="BH30" s="307" t="str">
        <x:f>IF(AND(BH$7&gt;=$E30,BH$7&lt;=$F30),1,"")</x:f>
      </x:c>
      <x:c r="BI30" s="307" t="str">
        <x:f>IF(AND(BI$7&gt;=$E30,BI$7&lt;=$F30),1,"")</x:f>
      </x:c>
      <x:c r="BJ30" s="307" t="str">
        <x:f>IF(AND(BJ$7&gt;=$E30,BJ$7&lt;=$F30),1,"")</x:f>
      </x:c>
      <x:c r="BK30" s="307" t="str">
        <x:f>IF(AND(BK$7&gt;=$E30,BK$7&lt;=$F30),1,"")</x:f>
      </x:c>
      <x:c r="BL30" s="307" t="n">
        <x:f>IF(AND(BL$7&gt;=$E30,BL$7&lt;=$F30),1,"")</x:f>
        <x:v>1</x:v>
      </x:c>
      <x:c r="BM30" s="307" t="n">
        <x:f>IF(AND(BM$7&gt;=$E30,BM$7&lt;=$F30),1,"")</x:f>
        <x:v>1</x:v>
      </x:c>
      <x:c r="BN30" s="307" t="n">
        <x:f>IF(AND(BN$7&gt;=$E30,BN$7&lt;=$F30),1,"")</x:f>
        <x:v>1</x:v>
      </x:c>
      <x:c r="BO30" s="307" t="n">
        <x:f>IF(AND(BO$7&gt;=$E30,BO$7&lt;=$F30),1,"")</x:f>
        <x:v>1</x:v>
      </x:c>
      <x:c r="BP30" s="307" t="n">
        <x:f>IF(AND(BP$7&gt;=$E30,BP$7&lt;=$F30),1,"")</x:f>
        <x:v>1</x:v>
      </x:c>
      <x:c r="BQ30" s="308" t="n">
        <x:f>IF(AND(BQ$7&gt;=$E30,BQ$7&lt;=$F30),1,"")</x:f>
        <x:v>1</x:v>
      </x:c>
      <x:c r="BR30" s="307" t="n">
        <x:f>IF(AND(BR$7&gt;=$E30,BR$7&lt;=$F30),1,"")</x:f>
        <x:v>1</x:v>
      </x:c>
      <x:c r="BS30" s="307" t="n">
        <x:f>IF(AND(BS$7&gt;=$E30,BS$7&lt;=$F30),1,"")</x:f>
        <x:v>1</x:v>
      </x:c>
      <x:c r="BT30" s="307" t="n">
        <x:f>IF(AND(BT$7&gt;=$E30,BT$7&lt;=$F30),1,"")</x:f>
        <x:v>1</x:v>
      </x:c>
      <x:c r="BU30" s="307" t="n">
        <x:f>IF(AND(BU$7&gt;=$E30,BU$7&lt;=$F30),1,"")</x:f>
        <x:v>1</x:v>
      </x:c>
      <x:c r="BV30" s="307" t="n">
        <x:f>IF(AND(BV$7&gt;=$E30,BV$7&lt;=$F30),1,"")</x:f>
        <x:v>1</x:v>
      </x:c>
      <x:c r="BW30" s="307" t="n">
        <x:f>IF(AND(BW$7&gt;=$E30,BW$7&lt;=$F30),1,"")</x:f>
        <x:v>1</x:v>
      </x:c>
      <x:c r="BX30" s="307" t="n">
        <x:f>IF(AND(BX$7&gt;=$E30,BX$7&lt;=$F30),1,"")</x:f>
        <x:v>1</x:v>
      </x:c>
      <x:c r="BY30" s="307" t="n">
        <x:f>IF(AND(BY$7&gt;=$E30,BY$7&lt;=$F30),1,"")</x:f>
        <x:v>1</x:v>
      </x:c>
      <x:c r="BZ30" s="307" t="n">
        <x:f>IF(AND(BZ$7&gt;=$E30,BZ$7&lt;=$F30),1,"")</x:f>
        <x:v>1</x:v>
      </x:c>
      <x:c r="CA30" s="307" t="n">
        <x:f>IF(AND(CA$7&gt;=$E30,CA$7&lt;=$F30),1,"")</x:f>
        <x:v>1</x:v>
      </x:c>
      <x:c r="CB30" s="307" t="n">
        <x:f>IF(AND(CB$7&gt;=$E30,CB$7&lt;=$F30),1,"")</x:f>
        <x:v>1</x:v>
      </x:c>
      <x:c r="CC30" s="307" t="n">
        <x:f>IF(AND(CC$7&gt;=$E30,CC$7&lt;=$F30),1,"")</x:f>
        <x:v>1</x:v>
      </x:c>
      <x:c r="CD30" s="307" t="n">
        <x:f>IF(AND(CD$7&gt;=$E30,CD$7&lt;=$F30),1,"")</x:f>
        <x:v>1</x:v>
      </x:c>
      <x:c r="CE30" s="307" t="n">
        <x:f>IF(AND(CE$7&gt;=$E30,CE$7&lt;=$F30),1,"")</x:f>
        <x:v>1</x:v>
      </x:c>
      <x:c r="CF30" s="307" t="str">
        <x:f>IF(AND(CF$7&gt;=$E30,CF$7&lt;=$F30),1,"")</x:f>
      </x:c>
      <x:c r="CG30" s="307" t="str">
        <x:f>IF(AND(CG$7&gt;=$E30,CG$7&lt;=$F30),1,"")</x:f>
      </x:c>
      <x:c r="CH30" s="307" t="str">
        <x:f>IF(AND(CH$7&gt;=$E30,CH$7&lt;=$F30),1,"")</x:f>
      </x:c>
      <x:c r="CI30" s="307" t="str">
        <x:f>IF(AND(CI$7&gt;=$E30,CI$7&lt;=$F30),1,"")</x:f>
      </x:c>
      <x:c r="CJ30" s="307" t="str">
        <x:f>IF(AND(CJ$7&gt;=$E30,CJ$7&lt;=$F30),1,"")</x:f>
      </x:c>
      <x:c r="CK30" s="308" t="str">
        <x:f>IF(AND(CK$7&gt;=$E30,CK$7&lt;=$F30),1,"")</x:f>
      </x:c>
      <x:c r="CL30" s="307" t="str">
        <x:f>IF(AND(CL$7&gt;=$E30,CL$7&lt;=$F30),1,"")</x:f>
      </x:c>
      <x:c r="CM30" s="307" t="str">
        <x:f>IF(AND(CM$7&gt;=$E30,CM$7&lt;=$F30),1,"")</x:f>
      </x:c>
      <x:c r="CN30" s="307" t="str">
        <x:f>IF(AND(CN$7&gt;=$E30,CN$7&lt;=$F30),1,"")</x:f>
      </x:c>
      <x:c r="CO30" s="307" t="str">
        <x:f>IF(AND(CO$7&gt;=$E30,CO$7&lt;=$F30),1,"")</x:f>
      </x:c>
      <x:c r="CP30" s="18"/>
    </x:row>
    <x:row r="31" ht="20" customHeight="1">
      <x:c r="B31" s="41" t="str">
        <x:v>4.1</x:v>
      </x:c>
      <x:c r="C31" s="341" t="str">
        <x:v>Ejecutar pruebas funcionales del MVP</x:v>
      </x:c>
      <x:c r="D31" s="347" t="str">
        <x:v>Equipo CAPSTONE</x:v>
      </x:c>
      <x:c r="E31" s="228" t="n">
        <x:v>46321</x:v>
      </x:c>
      <x:c r="F31" s="229" t="n">
        <x:v>46329</x:v>
      </x:c>
      <x:c r="G31" s="75" t="n">
        <x:f t="shared" si="0">IF(OR(E31="",F31=""),"",NETWORKDAYS(E31,F31))</x:f>
        <x:v>7</x:v>
      </x:c>
      <x:c r="H31" s="243" t="n">
        <x:v>0</x:v>
      </x:c>
      <x:c r="I31" s="309" t="str">
        <x:f>IF(AND(I$7&gt;=$E31,I$7&lt;=$F31),1,"")</x:f>
      </x:c>
      <x:c r="J31" s="310" t="str">
        <x:f>IF(AND(J$7&gt;=$E31,J$7&lt;=$F31),1,"")</x:f>
      </x:c>
      <x:c r="K31" s="310" t="str">
        <x:f>IF(AND(K$7&gt;=$E31,K$7&lt;=$F31),1,"")</x:f>
      </x:c>
      <x:c r="L31" s="310" t="str">
        <x:f>IF(AND(L$7&gt;=$E31,L$7&lt;=$F31),1,"")</x:f>
      </x:c>
      <x:c r="M31" s="310" t="str">
        <x:f>IF(AND(M$7&gt;=$E31,M$7&lt;=$F31),1,"")</x:f>
      </x:c>
      <x:c r="N31" s="311" t="str">
        <x:f>IF(AND(N$7&gt;=$E31,N$7&lt;=$F31),1,"")</x:f>
      </x:c>
      <x:c r="O31" s="311" t="str">
        <x:f>IF(AND(O$7&gt;=$E31,O$7&lt;=$F31),1,"")</x:f>
      </x:c>
      <x:c r="P31" s="311" t="str">
        <x:f>IF(AND(P$7&gt;=$E31,P$7&lt;=$F31),1,"")</x:f>
      </x:c>
      <x:c r="Q31" s="311" t="str">
        <x:f>IF(AND(Q$7&gt;=$E31,Q$7&lt;=$F31),1,"")</x:f>
      </x:c>
      <x:c r="R31" s="311" t="str">
        <x:f>IF(AND(R$7&gt;=$E31,R$7&lt;=$F31),1,"")</x:f>
      </x:c>
      <x:c r="S31" s="310" t="str">
        <x:f>IF(AND(S$7&gt;=$E31,S$7&lt;=$F31),1,"")</x:f>
      </x:c>
      <x:c r="T31" s="310" t="str">
        <x:f>IF(AND(T$7&gt;=$E31,T$7&lt;=$F31),1,"")</x:f>
      </x:c>
      <x:c r="U31" s="310" t="str">
        <x:f>IF(AND(U$7&gt;=$E31,U$7&lt;=$F31),1,"")</x:f>
      </x:c>
      <x:c r="V31" s="310" t="str">
        <x:f>IF(AND(V$7&gt;=$E31,V$7&lt;=$F31),1,"")</x:f>
      </x:c>
      <x:c r="W31" s="310" t="str">
        <x:f>IF(AND(W$7&gt;=$E31,W$7&lt;=$F31),1,"")</x:f>
      </x:c>
      <x:c r="X31" s="311" t="str">
        <x:f>IF(AND(X$7&gt;=$E31,X$7&lt;=$F31),1,"")</x:f>
      </x:c>
      <x:c r="Y31" s="311" t="str">
        <x:f>IF(AND(Y$7&gt;=$E31,Y$7&lt;=$F31),1,"")</x:f>
      </x:c>
      <x:c r="Z31" s="311" t="str">
        <x:f>IF(AND(Z$7&gt;=$E31,Z$7&lt;=$F31),1,"")</x:f>
      </x:c>
      <x:c r="AA31" s="311" t="str">
        <x:f>IF(AND(AA$7&gt;=$E31,AA$7&lt;=$F31),1,"")</x:f>
      </x:c>
      <x:c r="AB31" s="311" t="str">
        <x:f>IF(AND(AB$7&gt;=$E31,AB$7&lt;=$F31),1,"")</x:f>
      </x:c>
      <x:c r="AC31" s="312" t="str">
        <x:f>IF(AND(AC$7&gt;=$E31,AC$7&lt;=$F31),1,"")</x:f>
      </x:c>
      <x:c r="AD31" s="310" t="str">
        <x:f>IF(AND(AD$7&gt;=$E31,AD$7&lt;=$F31),1,"")</x:f>
      </x:c>
      <x:c r="AE31" s="310" t="str">
        <x:f>IF(AND(AE$7&gt;=$E31,AE$7&lt;=$F31),1,"")</x:f>
      </x:c>
      <x:c r="AF31" s="310" t="str">
        <x:f>IF(AND(AF$7&gt;=$E31,AF$7&lt;=$F31),1,"")</x:f>
      </x:c>
      <x:c r="AG31" s="310" t="str">
        <x:f>IF(AND(AG$7&gt;=$E31,AG$7&lt;=$F31),1,"")</x:f>
      </x:c>
      <x:c r="AH31" s="313" t="str">
        <x:f>IF(AND(AH$7&gt;=$E31,AH$7&lt;=$F31),1,"")</x:f>
      </x:c>
      <x:c r="AI31" s="313" t="str">
        <x:f>IF(AND(AI$7&gt;=$E31,AI$7&lt;=$F31),1,"")</x:f>
      </x:c>
      <x:c r="AJ31" s="313" t="str">
        <x:f>IF(AND(AJ$7&gt;=$E31,AJ$7&lt;=$F31),1,"")</x:f>
      </x:c>
      <x:c r="AK31" s="313" t="str">
        <x:f>IF(AND(AK$7&gt;=$E31,AK$7&lt;=$F31),1,"")</x:f>
      </x:c>
      <x:c r="AL31" s="313" t="str">
        <x:f>IF(AND(AL$7&gt;=$E31,AL$7&lt;=$F31),1,"")</x:f>
      </x:c>
      <x:c r="AM31" s="310" t="str">
        <x:f>IF(AND(AM$7&gt;=$E31,AM$7&lt;=$F31),1,"")</x:f>
      </x:c>
      <x:c r="AN31" s="310" t="str">
        <x:f>IF(AND(AN$7&gt;=$E31,AN$7&lt;=$F31),1,"")</x:f>
      </x:c>
      <x:c r="AO31" s="310" t="str">
        <x:f>IF(AND(AO$7&gt;=$E31,AO$7&lt;=$F31),1,"")</x:f>
      </x:c>
      <x:c r="AP31" s="310" t="str">
        <x:f>IF(AND(AP$7&gt;=$E31,AP$7&lt;=$F31),1,"")</x:f>
      </x:c>
      <x:c r="AQ31" s="310" t="str">
        <x:f>IF(AND(AQ$7&gt;=$E31,AQ$7&lt;=$F31),1,"")</x:f>
      </x:c>
      <x:c r="AR31" s="313" t="str">
        <x:f>IF(AND(AR$7&gt;=$E31,AR$7&lt;=$F31),1,"")</x:f>
      </x:c>
      <x:c r="AS31" s="313" t="str">
        <x:f>IF(AND(AS$7&gt;=$E31,AS$7&lt;=$F31),1,"")</x:f>
      </x:c>
      <x:c r="AT31" s="313" t="str">
        <x:f>IF(AND(AT$7&gt;=$E31,AT$7&lt;=$F31),1,"")</x:f>
      </x:c>
      <x:c r="AU31" s="313" t="str">
        <x:f>IF(AND(AU$7&gt;=$E31,AU$7&lt;=$F31),1,"")</x:f>
      </x:c>
      <x:c r="AV31" s="313" t="str">
        <x:f>IF(AND(AV$7&gt;=$E31,AV$7&lt;=$F31),1,"")</x:f>
      </x:c>
      <x:c r="AW31" s="312" t="str">
        <x:f>IF(AND(AW$7&gt;=$E31,AW$7&lt;=$F31),1,"")</x:f>
      </x:c>
      <x:c r="AX31" s="310" t="str">
        <x:f>IF(AND(AX$7&gt;=$E31,AX$7&lt;=$F31),1,"")</x:f>
      </x:c>
      <x:c r="AY31" s="310" t="str">
        <x:f>IF(AND(AY$7&gt;=$E31,AY$7&lt;=$F31),1,"")</x:f>
      </x:c>
      <x:c r="AZ31" s="310" t="str">
        <x:f>IF(AND(AZ$7&gt;=$E31,AZ$7&lt;=$F31),1,"")</x:f>
      </x:c>
      <x:c r="BA31" s="310" t="str">
        <x:f>IF(AND(BA$7&gt;=$E31,BA$7&lt;=$F31),1,"")</x:f>
      </x:c>
      <x:c r="BB31" s="314" t="str">
        <x:f>IF(AND(BB$7&gt;=$E31,BB$7&lt;=$F31),1,"")</x:f>
      </x:c>
      <x:c r="BC31" s="314" t="str">
        <x:f>IF(AND(BC$7&gt;=$E31,BC$7&lt;=$F31),1,"")</x:f>
      </x:c>
      <x:c r="BD31" s="314" t="str">
        <x:f>IF(AND(BD$7&gt;=$E31,BD$7&lt;=$F31),1,"")</x:f>
      </x:c>
      <x:c r="BE31" s="314" t="str">
        <x:f>IF(AND(BE$7&gt;=$E31,BE$7&lt;=$F31),1,"")</x:f>
      </x:c>
      <x:c r="BF31" s="314" t="str">
        <x:f>IF(AND(BF$7&gt;=$E31,BF$7&lt;=$F31),1,"")</x:f>
      </x:c>
      <x:c r="BG31" s="310" t="str">
        <x:f>IF(AND(BG$7&gt;=$E31,BG$7&lt;=$F31),1,"")</x:f>
      </x:c>
      <x:c r="BH31" s="310" t="str">
        <x:f>IF(AND(BH$7&gt;=$E31,BH$7&lt;=$F31),1,"")</x:f>
      </x:c>
      <x:c r="BI31" s="310" t="str">
        <x:f>IF(AND(BI$7&gt;=$E31,BI$7&lt;=$F31),1,"")</x:f>
      </x:c>
      <x:c r="BJ31" s="310" t="str">
        <x:f>IF(AND(BJ$7&gt;=$E31,BJ$7&lt;=$F31),1,"")</x:f>
      </x:c>
      <x:c r="BK31" s="310" t="str">
        <x:f>IF(AND(BK$7&gt;=$E31,BK$7&lt;=$F31),1,"")</x:f>
      </x:c>
      <x:c r="BL31" s="314" t="n">
        <x:f>IF(AND(BL$7&gt;=$E31,BL$7&lt;=$F31),1,"")</x:f>
        <x:v>1</x:v>
      </x:c>
      <x:c r="BM31" s="314" t="n">
        <x:f>IF(AND(BM$7&gt;=$E31,BM$7&lt;=$F31),1,"")</x:f>
        <x:v>1</x:v>
      </x:c>
      <x:c r="BN31" s="314" t="n">
        <x:f>IF(AND(BN$7&gt;=$E31,BN$7&lt;=$F31),1,"")</x:f>
        <x:v>1</x:v>
      </x:c>
      <x:c r="BO31" s="314" t="n">
        <x:f>IF(AND(BO$7&gt;=$E31,BO$7&lt;=$F31),1,"")</x:f>
        <x:v>1</x:v>
      </x:c>
      <x:c r="BP31" s="314" t="n">
        <x:f>IF(AND(BP$7&gt;=$E31,BP$7&lt;=$F31),1,"")</x:f>
        <x:v>1</x:v>
      </x:c>
      <x:c r="BQ31" s="312" t="n">
        <x:f>IF(AND(BQ$7&gt;=$E31,BQ$7&lt;=$F31),1,"")</x:f>
        <x:v>1</x:v>
      </x:c>
      <x:c r="BR31" s="310" t="n">
        <x:f>IF(AND(BR$7&gt;=$E31,BR$7&lt;=$F31),1,"")</x:f>
        <x:v>1</x:v>
      </x:c>
      <x:c r="BS31" s="310" t="str">
        <x:f>IF(AND(BS$7&gt;=$E31,BS$7&lt;=$F31),1,"")</x:f>
      </x:c>
      <x:c r="BT31" s="310" t="str">
        <x:f>IF(AND(BT$7&gt;=$E31,BT$7&lt;=$F31),1,"")</x:f>
      </x:c>
      <x:c r="BU31" s="310" t="str">
        <x:f>IF(AND(BU$7&gt;=$E31,BU$7&lt;=$F31),1,"")</x:f>
      </x:c>
      <x:c r="BV31" s="315" t="str">
        <x:f>IF(AND(BV$7&gt;=$E31,BV$7&lt;=$F31),1,"")</x:f>
      </x:c>
      <x:c r="BW31" s="315" t="str">
        <x:f>IF(AND(BW$7&gt;=$E31,BW$7&lt;=$F31),1,"")</x:f>
      </x:c>
      <x:c r="BX31" s="315" t="str">
        <x:f>IF(AND(BX$7&gt;=$E31,BX$7&lt;=$F31),1,"")</x:f>
      </x:c>
      <x:c r="BY31" s="315" t="str">
        <x:f>IF(AND(BY$7&gt;=$E31,BY$7&lt;=$F31),1,"")</x:f>
      </x:c>
      <x:c r="BZ31" s="315" t="str">
        <x:f>IF(AND(BZ$7&gt;=$E31,BZ$7&lt;=$F31),1,"")</x:f>
      </x:c>
      <x:c r="CA31" s="310" t="str">
        <x:f>IF(AND(CA$7&gt;=$E31,CA$7&lt;=$F31),1,"")</x:f>
      </x:c>
      <x:c r="CB31" s="310" t="str">
        <x:f>IF(AND(CB$7&gt;=$E31,CB$7&lt;=$F31),1,"")</x:f>
      </x:c>
      <x:c r="CC31" s="310" t="str">
        <x:f>IF(AND(CC$7&gt;=$E31,CC$7&lt;=$F31),1,"")</x:f>
      </x:c>
      <x:c r="CD31" s="310" t="str">
        <x:f>IF(AND(CD$7&gt;=$E31,CD$7&lt;=$F31),1,"")</x:f>
      </x:c>
      <x:c r="CE31" s="310" t="str">
        <x:f>IF(AND(CE$7&gt;=$E31,CE$7&lt;=$F31),1,"")</x:f>
      </x:c>
      <x:c r="CF31" s="315" t="str">
        <x:f>IF(AND(CF$7&gt;=$E31,CF$7&lt;=$F31),1,"")</x:f>
      </x:c>
      <x:c r="CG31" s="315" t="str">
        <x:f>IF(AND(CG$7&gt;=$E31,CG$7&lt;=$F31),1,"")</x:f>
      </x:c>
      <x:c r="CH31" s="315" t="str">
        <x:f>IF(AND(CH$7&gt;=$E31,CH$7&lt;=$F31),1,"")</x:f>
      </x:c>
      <x:c r="CI31" s="315" t="str">
        <x:f>IF(AND(CI$7&gt;=$E31,CI$7&lt;=$F31),1,"")</x:f>
      </x:c>
      <x:c r="CJ31" s="315" t="str">
        <x:f>IF(AND(CJ$7&gt;=$E31,CJ$7&lt;=$F31),1,"")</x:f>
      </x:c>
      <x:c r="CK31" s="312" t="str">
        <x:f>IF(AND(CK$7&gt;=$E31,CK$7&lt;=$F31),1,"")</x:f>
      </x:c>
      <x:c r="CL31" s="310" t="str">
        <x:f>IF(AND(CL$7&gt;=$E31,CL$7&lt;=$F31),1,"")</x:f>
      </x:c>
      <x:c r="CM31" s="310" t="str">
        <x:f>IF(AND(CM$7&gt;=$E31,CM$7&lt;=$F31),1,"")</x:f>
      </x:c>
      <x:c r="CN31" s="310" t="str">
        <x:f>IF(AND(CN$7&gt;=$E31,CN$7&lt;=$F31),1,"")</x:f>
      </x:c>
      <x:c r="CO31" s="310" t="str">
        <x:f>IF(AND(CO$7&gt;=$E31,CO$7&lt;=$F31),1,"")</x:f>
      </x:c>
      <x:c r="CP31" s="20"/>
    </x:row>
    <x:row r="32" ht="20" customHeight="1">
      <x:c r="B32" s="41" t="str">
        <x:v>4.2</x:v>
      </x:c>
      <x:c r="C32" s="341" t="str">
        <x:v>Validar usabilidad con usuarios de Soporte</x:v>
      </x:c>
      <x:c r="D32" s="347" t="str">
        <x:v>Equipo CAPSTONE</x:v>
      </x:c>
      <x:c r="E32" s="228" t="n">
        <x:v>46328</x:v>
      </x:c>
      <x:c r="F32" s="229" t="n">
        <x:v>46332</x:v>
      </x:c>
      <x:c r="G32" s="75" t="n">
        <x:f t="shared" si="0">IF(OR(E32="",F32=""),"",NETWORKDAYS(E32,F32))</x:f>
        <x:v>5</x:v>
      </x:c>
      <x:c r="H32" s="243" t="n">
        <x:v>0</x:v>
      </x:c>
      <x:c r="I32" s="309" t="str">
        <x:f>IF(AND(I$7&gt;=$E32,I$7&lt;=$F32),1,"")</x:f>
      </x:c>
      <x:c r="J32" s="310" t="str">
        <x:f>IF(AND(J$7&gt;=$E32,J$7&lt;=$F32),1,"")</x:f>
      </x:c>
      <x:c r="K32" s="310" t="str">
        <x:f>IF(AND(K$7&gt;=$E32,K$7&lt;=$F32),1,"")</x:f>
      </x:c>
      <x:c r="L32" s="310" t="str">
        <x:f>IF(AND(L$7&gt;=$E32,L$7&lt;=$F32),1,"")</x:f>
      </x:c>
      <x:c r="M32" s="310" t="str">
        <x:f>IF(AND(M$7&gt;=$E32,M$7&lt;=$F32),1,"")</x:f>
      </x:c>
      <x:c r="N32" s="311" t="str">
        <x:f>IF(AND(N$7&gt;=$E32,N$7&lt;=$F32),1,"")</x:f>
      </x:c>
      <x:c r="O32" s="311" t="str">
        <x:f>IF(AND(O$7&gt;=$E32,O$7&lt;=$F32),1,"")</x:f>
      </x:c>
      <x:c r="P32" s="311" t="str">
        <x:f>IF(AND(P$7&gt;=$E32,P$7&lt;=$F32),1,"")</x:f>
      </x:c>
      <x:c r="Q32" s="311" t="str">
        <x:f>IF(AND(Q$7&gt;=$E32,Q$7&lt;=$F32),1,"")</x:f>
      </x:c>
      <x:c r="R32" s="311" t="str">
        <x:f>IF(AND(R$7&gt;=$E32,R$7&lt;=$F32),1,"")</x:f>
      </x:c>
      <x:c r="S32" s="310" t="str">
        <x:f>IF(AND(S$7&gt;=$E32,S$7&lt;=$F32),1,"")</x:f>
      </x:c>
      <x:c r="T32" s="310" t="str">
        <x:f>IF(AND(T$7&gt;=$E32,T$7&lt;=$F32),1,"")</x:f>
      </x:c>
      <x:c r="U32" s="310" t="str">
        <x:f>IF(AND(U$7&gt;=$E32,U$7&lt;=$F32),1,"")</x:f>
      </x:c>
      <x:c r="V32" s="310" t="str">
        <x:f>IF(AND(V$7&gt;=$E32,V$7&lt;=$F32),1,"")</x:f>
      </x:c>
      <x:c r="W32" s="310" t="str">
        <x:f>IF(AND(W$7&gt;=$E32,W$7&lt;=$F32),1,"")</x:f>
      </x:c>
      <x:c r="X32" s="311" t="str">
        <x:f>IF(AND(X$7&gt;=$E32,X$7&lt;=$F32),1,"")</x:f>
      </x:c>
      <x:c r="Y32" s="311" t="str">
        <x:f>IF(AND(Y$7&gt;=$E32,Y$7&lt;=$F32),1,"")</x:f>
      </x:c>
      <x:c r="Z32" s="311" t="str">
        <x:f>IF(AND(Z$7&gt;=$E32,Z$7&lt;=$F32),1,"")</x:f>
      </x:c>
      <x:c r="AA32" s="311" t="str">
        <x:f>IF(AND(AA$7&gt;=$E32,AA$7&lt;=$F32),1,"")</x:f>
      </x:c>
      <x:c r="AB32" s="311" t="str">
        <x:f>IF(AND(AB$7&gt;=$E32,AB$7&lt;=$F32),1,"")</x:f>
      </x:c>
      <x:c r="AC32" s="312" t="str">
        <x:f>IF(AND(AC$7&gt;=$E32,AC$7&lt;=$F32),1,"")</x:f>
      </x:c>
      <x:c r="AD32" s="310" t="str">
        <x:f>IF(AND(AD$7&gt;=$E32,AD$7&lt;=$F32),1,"")</x:f>
      </x:c>
      <x:c r="AE32" s="310" t="str">
        <x:f>IF(AND(AE$7&gt;=$E32,AE$7&lt;=$F32),1,"")</x:f>
      </x:c>
      <x:c r="AF32" s="310" t="str">
        <x:f>IF(AND(AF$7&gt;=$E32,AF$7&lt;=$F32),1,"")</x:f>
      </x:c>
      <x:c r="AG32" s="310" t="str">
        <x:f>IF(AND(AG$7&gt;=$E32,AG$7&lt;=$F32),1,"")</x:f>
      </x:c>
      <x:c r="AH32" s="313" t="str">
        <x:f>IF(AND(AH$7&gt;=$E32,AH$7&lt;=$F32),1,"")</x:f>
      </x:c>
      <x:c r="AI32" s="313" t="str">
        <x:f>IF(AND(AI$7&gt;=$E32,AI$7&lt;=$F32),1,"")</x:f>
      </x:c>
      <x:c r="AJ32" s="313" t="str">
        <x:f>IF(AND(AJ$7&gt;=$E32,AJ$7&lt;=$F32),1,"")</x:f>
      </x:c>
      <x:c r="AK32" s="313" t="str">
        <x:f>IF(AND(AK$7&gt;=$E32,AK$7&lt;=$F32),1,"")</x:f>
      </x:c>
      <x:c r="AL32" s="313" t="str">
        <x:f>IF(AND(AL$7&gt;=$E32,AL$7&lt;=$F32),1,"")</x:f>
      </x:c>
      <x:c r="AM32" s="310" t="str">
        <x:f>IF(AND(AM$7&gt;=$E32,AM$7&lt;=$F32),1,"")</x:f>
      </x:c>
      <x:c r="AN32" s="310" t="str">
        <x:f>IF(AND(AN$7&gt;=$E32,AN$7&lt;=$F32),1,"")</x:f>
      </x:c>
      <x:c r="AO32" s="310" t="str">
        <x:f>IF(AND(AO$7&gt;=$E32,AO$7&lt;=$F32),1,"")</x:f>
      </x:c>
      <x:c r="AP32" s="310" t="str">
        <x:f>IF(AND(AP$7&gt;=$E32,AP$7&lt;=$F32),1,"")</x:f>
      </x:c>
      <x:c r="AQ32" s="310" t="str">
        <x:f>IF(AND(AQ$7&gt;=$E32,AQ$7&lt;=$F32),1,"")</x:f>
      </x:c>
      <x:c r="AR32" s="313" t="str">
        <x:f>IF(AND(AR$7&gt;=$E32,AR$7&lt;=$F32),1,"")</x:f>
      </x:c>
      <x:c r="AS32" s="313" t="str">
        <x:f>IF(AND(AS$7&gt;=$E32,AS$7&lt;=$F32),1,"")</x:f>
      </x:c>
      <x:c r="AT32" s="313" t="str">
        <x:f>IF(AND(AT$7&gt;=$E32,AT$7&lt;=$F32),1,"")</x:f>
      </x:c>
      <x:c r="AU32" s="313" t="str">
        <x:f>IF(AND(AU$7&gt;=$E32,AU$7&lt;=$F32),1,"")</x:f>
      </x:c>
      <x:c r="AV32" s="313" t="str">
        <x:f>IF(AND(AV$7&gt;=$E32,AV$7&lt;=$F32),1,"")</x:f>
      </x:c>
      <x:c r="AW32" s="312" t="str">
        <x:f>IF(AND(AW$7&gt;=$E32,AW$7&lt;=$F32),1,"")</x:f>
      </x:c>
      <x:c r="AX32" s="310" t="str">
        <x:f>IF(AND(AX$7&gt;=$E32,AX$7&lt;=$F32),1,"")</x:f>
      </x:c>
      <x:c r="AY32" s="310" t="str">
        <x:f>IF(AND(AY$7&gt;=$E32,AY$7&lt;=$F32),1,"")</x:f>
      </x:c>
      <x:c r="AZ32" s="310" t="str">
        <x:f>IF(AND(AZ$7&gt;=$E32,AZ$7&lt;=$F32),1,"")</x:f>
      </x:c>
      <x:c r="BA32" s="310" t="str">
        <x:f>IF(AND(BA$7&gt;=$E32,BA$7&lt;=$F32),1,"")</x:f>
      </x:c>
      <x:c r="BB32" s="314" t="str">
        <x:f>IF(AND(BB$7&gt;=$E32,BB$7&lt;=$F32),1,"")</x:f>
      </x:c>
      <x:c r="BC32" s="314" t="str">
        <x:f>IF(AND(BC$7&gt;=$E32,BC$7&lt;=$F32),1,"")</x:f>
      </x:c>
      <x:c r="BD32" s="314" t="str">
        <x:f>IF(AND(BD$7&gt;=$E32,BD$7&lt;=$F32),1,"")</x:f>
      </x:c>
      <x:c r="BE32" s="314" t="str">
        <x:f>IF(AND(BE$7&gt;=$E32,BE$7&lt;=$F32),1,"")</x:f>
      </x:c>
      <x:c r="BF32" s="314" t="str">
        <x:f>IF(AND(BF$7&gt;=$E32,BF$7&lt;=$F32),1,"")</x:f>
      </x:c>
      <x:c r="BG32" s="310" t="str">
        <x:f>IF(AND(BG$7&gt;=$E32,BG$7&lt;=$F32),1,"")</x:f>
      </x:c>
      <x:c r="BH32" s="310" t="str">
        <x:f>IF(AND(BH$7&gt;=$E32,BH$7&lt;=$F32),1,"")</x:f>
      </x:c>
      <x:c r="BI32" s="310" t="str">
        <x:f>IF(AND(BI$7&gt;=$E32,BI$7&lt;=$F32),1,"")</x:f>
      </x:c>
      <x:c r="BJ32" s="310" t="str">
        <x:f>IF(AND(BJ$7&gt;=$E32,BJ$7&lt;=$F32),1,"")</x:f>
      </x:c>
      <x:c r="BK32" s="310" t="str">
        <x:f>IF(AND(BK$7&gt;=$E32,BK$7&lt;=$F32),1,"")</x:f>
      </x:c>
      <x:c r="BL32" s="314" t="str">
        <x:f>IF(AND(BL$7&gt;=$E32,BL$7&lt;=$F32),1,"")</x:f>
      </x:c>
      <x:c r="BM32" s="314" t="str">
        <x:f>IF(AND(BM$7&gt;=$E32,BM$7&lt;=$F32),1,"")</x:f>
      </x:c>
      <x:c r="BN32" s="314" t="str">
        <x:f>IF(AND(BN$7&gt;=$E32,BN$7&lt;=$F32),1,"")</x:f>
      </x:c>
      <x:c r="BO32" s="314" t="str">
        <x:f>IF(AND(BO$7&gt;=$E32,BO$7&lt;=$F32),1,"")</x:f>
      </x:c>
      <x:c r="BP32" s="314" t="str">
        <x:f>IF(AND(BP$7&gt;=$E32,BP$7&lt;=$F32),1,"")</x:f>
      </x:c>
      <x:c r="BQ32" s="312" t="n">
        <x:f>IF(AND(BQ$7&gt;=$E32,BQ$7&lt;=$F32),1,"")</x:f>
        <x:v>1</x:v>
      </x:c>
      <x:c r="BR32" s="310" t="n">
        <x:f>IF(AND(BR$7&gt;=$E32,BR$7&lt;=$F32),1,"")</x:f>
        <x:v>1</x:v>
      </x:c>
      <x:c r="BS32" s="310" t="n">
        <x:f>IF(AND(BS$7&gt;=$E32,BS$7&lt;=$F32),1,"")</x:f>
        <x:v>1</x:v>
      </x:c>
      <x:c r="BT32" s="310" t="n">
        <x:f>IF(AND(BT$7&gt;=$E32,BT$7&lt;=$F32),1,"")</x:f>
        <x:v>1</x:v>
      </x:c>
      <x:c r="BU32" s="310" t="n">
        <x:f>IF(AND(BU$7&gt;=$E32,BU$7&lt;=$F32),1,"")</x:f>
        <x:v>1</x:v>
      </x:c>
      <x:c r="BV32" s="315" t="str">
        <x:f>IF(AND(BV$7&gt;=$E32,BV$7&lt;=$F32),1,"")</x:f>
      </x:c>
      <x:c r="BW32" s="315" t="str">
        <x:f>IF(AND(BW$7&gt;=$E32,BW$7&lt;=$F32),1,"")</x:f>
      </x:c>
      <x:c r="BX32" s="315" t="str">
        <x:f>IF(AND(BX$7&gt;=$E32,BX$7&lt;=$F32),1,"")</x:f>
      </x:c>
      <x:c r="BY32" s="315" t="str">
        <x:f>IF(AND(BY$7&gt;=$E32,BY$7&lt;=$F32),1,"")</x:f>
      </x:c>
      <x:c r="BZ32" s="315" t="str">
        <x:f>IF(AND(BZ$7&gt;=$E32,BZ$7&lt;=$F32),1,"")</x:f>
      </x:c>
      <x:c r="CA32" s="310" t="str">
        <x:f>IF(AND(CA$7&gt;=$E32,CA$7&lt;=$F32),1,"")</x:f>
      </x:c>
      <x:c r="CB32" s="310" t="str">
        <x:f>IF(AND(CB$7&gt;=$E32,CB$7&lt;=$F32),1,"")</x:f>
      </x:c>
      <x:c r="CC32" s="310" t="str">
        <x:f>IF(AND(CC$7&gt;=$E32,CC$7&lt;=$F32),1,"")</x:f>
      </x:c>
      <x:c r="CD32" s="310" t="str">
        <x:f>IF(AND(CD$7&gt;=$E32,CD$7&lt;=$F32),1,"")</x:f>
      </x:c>
      <x:c r="CE32" s="310" t="str">
        <x:f>IF(AND(CE$7&gt;=$E32,CE$7&lt;=$F32),1,"")</x:f>
      </x:c>
      <x:c r="CF32" s="315" t="str">
        <x:f>IF(AND(CF$7&gt;=$E32,CF$7&lt;=$F32),1,"")</x:f>
      </x:c>
      <x:c r="CG32" s="315" t="str">
        <x:f>IF(AND(CG$7&gt;=$E32,CG$7&lt;=$F32),1,"")</x:f>
      </x:c>
      <x:c r="CH32" s="315" t="str">
        <x:f>IF(AND(CH$7&gt;=$E32,CH$7&lt;=$F32),1,"")</x:f>
      </x:c>
      <x:c r="CI32" s="315" t="str">
        <x:f>IF(AND(CI$7&gt;=$E32,CI$7&lt;=$F32),1,"")</x:f>
      </x:c>
      <x:c r="CJ32" s="315" t="str">
        <x:f>IF(AND(CJ$7&gt;=$E32,CJ$7&lt;=$F32),1,"")</x:f>
      </x:c>
      <x:c r="CK32" s="312" t="str">
        <x:f>IF(AND(CK$7&gt;=$E32,CK$7&lt;=$F32),1,"")</x:f>
      </x:c>
      <x:c r="CL32" s="310" t="str">
        <x:f>IF(AND(CL$7&gt;=$E32,CL$7&lt;=$F32),1,"")</x:f>
      </x:c>
      <x:c r="CM32" s="310" t="str">
        <x:f>IF(AND(CM$7&gt;=$E32,CM$7&lt;=$F32),1,"")</x:f>
      </x:c>
      <x:c r="CN32" s="310" t="str">
        <x:f>IF(AND(CN$7&gt;=$E32,CN$7&lt;=$F32),1,"")</x:f>
      </x:c>
      <x:c r="CO32" s="310" t="str">
        <x:f>IF(AND(CO$7&gt;=$E32,CO$7&lt;=$F32),1,"")</x:f>
      </x:c>
      <x:c r="CP32" s="20"/>
    </x:row>
    <x:row r="33" ht="20" customHeight="1">
      <x:c r="B33" s="41" t="str">
        <x:v>4.3</x:v>
      </x:c>
      <x:c r="C33" s="341" t="str">
        <x:v>Corregir hallazgos y realizar regresión</x:v>
      </x:c>
      <x:c r="D33" s="347" t="str">
        <x:v>Equipo CAPSTONE</x:v>
      </x:c>
      <x:c r="E33" s="228" t="n">
        <x:v>46331</x:v>
      </x:c>
      <x:c r="F33" s="229" t="n">
        <x:v>46339</x:v>
      </x:c>
      <x:c r="G33" s="75" t="n">
        <x:f t="shared" si="0">IF(OR(E33="",F33=""),"",NETWORKDAYS(E33,F33))</x:f>
        <x:v>7</x:v>
      </x:c>
      <x:c r="H33" s="243" t="n">
        <x:v>0</x:v>
      </x:c>
      <x:c r="I33" s="309" t="str">
        <x:f>IF(AND(I$7&gt;=$E33,I$7&lt;=$F33),1,"")</x:f>
      </x:c>
      <x:c r="J33" s="310" t="str">
        <x:f>IF(AND(J$7&gt;=$E33,J$7&lt;=$F33),1,"")</x:f>
      </x:c>
      <x:c r="K33" s="310" t="str">
        <x:f>IF(AND(K$7&gt;=$E33,K$7&lt;=$F33),1,"")</x:f>
      </x:c>
      <x:c r="L33" s="310" t="str">
        <x:f>IF(AND(L$7&gt;=$E33,L$7&lt;=$F33),1,"")</x:f>
      </x:c>
      <x:c r="M33" s="310" t="str">
        <x:f>IF(AND(M$7&gt;=$E33,M$7&lt;=$F33),1,"")</x:f>
      </x:c>
      <x:c r="N33" s="311" t="str">
        <x:f>IF(AND(N$7&gt;=$E33,N$7&lt;=$F33),1,"")</x:f>
      </x:c>
      <x:c r="O33" s="311" t="str">
        <x:f>IF(AND(O$7&gt;=$E33,O$7&lt;=$F33),1,"")</x:f>
      </x:c>
      <x:c r="P33" s="311" t="str">
        <x:f>IF(AND(P$7&gt;=$E33,P$7&lt;=$F33),1,"")</x:f>
      </x:c>
      <x:c r="Q33" s="311" t="str">
        <x:f>IF(AND(Q$7&gt;=$E33,Q$7&lt;=$F33),1,"")</x:f>
      </x:c>
      <x:c r="R33" s="311" t="str">
        <x:f>IF(AND(R$7&gt;=$E33,R$7&lt;=$F33),1,"")</x:f>
      </x:c>
      <x:c r="S33" s="310" t="str">
        <x:f>IF(AND(S$7&gt;=$E33,S$7&lt;=$F33),1,"")</x:f>
      </x:c>
      <x:c r="T33" s="310" t="str">
        <x:f>IF(AND(T$7&gt;=$E33,T$7&lt;=$F33),1,"")</x:f>
      </x:c>
      <x:c r="U33" s="310" t="str">
        <x:f>IF(AND(U$7&gt;=$E33,U$7&lt;=$F33),1,"")</x:f>
      </x:c>
      <x:c r="V33" s="310" t="str">
        <x:f>IF(AND(V$7&gt;=$E33,V$7&lt;=$F33),1,"")</x:f>
      </x:c>
      <x:c r="W33" s="310" t="str">
        <x:f>IF(AND(W$7&gt;=$E33,W$7&lt;=$F33),1,"")</x:f>
      </x:c>
      <x:c r="X33" s="311" t="str">
        <x:f>IF(AND(X$7&gt;=$E33,X$7&lt;=$F33),1,"")</x:f>
      </x:c>
      <x:c r="Y33" s="311" t="str">
        <x:f>IF(AND(Y$7&gt;=$E33,Y$7&lt;=$F33),1,"")</x:f>
      </x:c>
      <x:c r="Z33" s="311" t="str">
        <x:f>IF(AND(Z$7&gt;=$E33,Z$7&lt;=$F33),1,"")</x:f>
      </x:c>
      <x:c r="AA33" s="311" t="str">
        <x:f>IF(AND(AA$7&gt;=$E33,AA$7&lt;=$F33),1,"")</x:f>
      </x:c>
      <x:c r="AB33" s="311" t="str">
        <x:f>IF(AND(AB$7&gt;=$E33,AB$7&lt;=$F33),1,"")</x:f>
      </x:c>
      <x:c r="AC33" s="312" t="str">
        <x:f>IF(AND(AC$7&gt;=$E33,AC$7&lt;=$F33),1,"")</x:f>
      </x:c>
      <x:c r="AD33" s="310" t="str">
        <x:f>IF(AND(AD$7&gt;=$E33,AD$7&lt;=$F33),1,"")</x:f>
      </x:c>
      <x:c r="AE33" s="310" t="str">
        <x:f>IF(AND(AE$7&gt;=$E33,AE$7&lt;=$F33),1,"")</x:f>
      </x:c>
      <x:c r="AF33" s="310" t="str">
        <x:f>IF(AND(AF$7&gt;=$E33,AF$7&lt;=$F33),1,"")</x:f>
      </x:c>
      <x:c r="AG33" s="310" t="str">
        <x:f>IF(AND(AG$7&gt;=$E33,AG$7&lt;=$F33),1,"")</x:f>
      </x:c>
      <x:c r="AH33" s="313" t="str">
        <x:f>IF(AND(AH$7&gt;=$E33,AH$7&lt;=$F33),1,"")</x:f>
      </x:c>
      <x:c r="AI33" s="313" t="str">
        <x:f>IF(AND(AI$7&gt;=$E33,AI$7&lt;=$F33),1,"")</x:f>
      </x:c>
      <x:c r="AJ33" s="313" t="str">
        <x:f>IF(AND(AJ$7&gt;=$E33,AJ$7&lt;=$F33),1,"")</x:f>
      </x:c>
      <x:c r="AK33" s="313" t="str">
        <x:f>IF(AND(AK$7&gt;=$E33,AK$7&lt;=$F33),1,"")</x:f>
      </x:c>
      <x:c r="AL33" s="313" t="str">
        <x:f>IF(AND(AL$7&gt;=$E33,AL$7&lt;=$F33),1,"")</x:f>
      </x:c>
      <x:c r="AM33" s="310" t="str">
        <x:f>IF(AND(AM$7&gt;=$E33,AM$7&lt;=$F33),1,"")</x:f>
      </x:c>
      <x:c r="AN33" s="310" t="str">
        <x:f>IF(AND(AN$7&gt;=$E33,AN$7&lt;=$F33),1,"")</x:f>
      </x:c>
      <x:c r="AO33" s="310" t="str">
        <x:f>IF(AND(AO$7&gt;=$E33,AO$7&lt;=$F33),1,"")</x:f>
      </x:c>
      <x:c r="AP33" s="310" t="str">
        <x:f>IF(AND(AP$7&gt;=$E33,AP$7&lt;=$F33),1,"")</x:f>
      </x:c>
      <x:c r="AQ33" s="310" t="str">
        <x:f>IF(AND(AQ$7&gt;=$E33,AQ$7&lt;=$F33),1,"")</x:f>
      </x:c>
      <x:c r="AR33" s="313" t="str">
        <x:f>IF(AND(AR$7&gt;=$E33,AR$7&lt;=$F33),1,"")</x:f>
      </x:c>
      <x:c r="AS33" s="313" t="str">
        <x:f>IF(AND(AS$7&gt;=$E33,AS$7&lt;=$F33),1,"")</x:f>
      </x:c>
      <x:c r="AT33" s="313" t="str">
        <x:f>IF(AND(AT$7&gt;=$E33,AT$7&lt;=$F33),1,"")</x:f>
      </x:c>
      <x:c r="AU33" s="313" t="str">
        <x:f>IF(AND(AU$7&gt;=$E33,AU$7&lt;=$F33),1,"")</x:f>
      </x:c>
      <x:c r="AV33" s="313" t="str">
        <x:f>IF(AND(AV$7&gt;=$E33,AV$7&lt;=$F33),1,"")</x:f>
      </x:c>
      <x:c r="AW33" s="312" t="str">
        <x:f>IF(AND(AW$7&gt;=$E33,AW$7&lt;=$F33),1,"")</x:f>
      </x:c>
      <x:c r="AX33" s="310" t="str">
        <x:f>IF(AND(AX$7&gt;=$E33,AX$7&lt;=$F33),1,"")</x:f>
      </x:c>
      <x:c r="AY33" s="310" t="str">
        <x:f>IF(AND(AY$7&gt;=$E33,AY$7&lt;=$F33),1,"")</x:f>
      </x:c>
      <x:c r="AZ33" s="310" t="str">
        <x:f>IF(AND(AZ$7&gt;=$E33,AZ$7&lt;=$F33),1,"")</x:f>
      </x:c>
      <x:c r="BA33" s="310" t="str">
        <x:f>IF(AND(BA$7&gt;=$E33,BA$7&lt;=$F33),1,"")</x:f>
      </x:c>
      <x:c r="BB33" s="314" t="str">
        <x:f>IF(AND(BB$7&gt;=$E33,BB$7&lt;=$F33),1,"")</x:f>
      </x:c>
      <x:c r="BC33" s="314" t="str">
        <x:f>IF(AND(BC$7&gt;=$E33,BC$7&lt;=$F33),1,"")</x:f>
      </x:c>
      <x:c r="BD33" s="314" t="str">
        <x:f>IF(AND(BD$7&gt;=$E33,BD$7&lt;=$F33),1,"")</x:f>
      </x:c>
      <x:c r="BE33" s="314" t="str">
        <x:f>IF(AND(BE$7&gt;=$E33,BE$7&lt;=$F33),1,"")</x:f>
      </x:c>
      <x:c r="BF33" s="314" t="str">
        <x:f>IF(AND(BF$7&gt;=$E33,BF$7&lt;=$F33),1,"")</x:f>
      </x:c>
      <x:c r="BG33" s="310" t="str">
        <x:f>IF(AND(BG$7&gt;=$E33,BG$7&lt;=$F33),1,"")</x:f>
      </x:c>
      <x:c r="BH33" s="310" t="str">
        <x:f>IF(AND(BH$7&gt;=$E33,BH$7&lt;=$F33),1,"")</x:f>
      </x:c>
      <x:c r="BI33" s="310" t="str">
        <x:f>IF(AND(BI$7&gt;=$E33,BI$7&lt;=$F33),1,"")</x:f>
      </x:c>
      <x:c r="BJ33" s="310" t="str">
        <x:f>IF(AND(BJ$7&gt;=$E33,BJ$7&lt;=$F33),1,"")</x:f>
      </x:c>
      <x:c r="BK33" s="310" t="str">
        <x:f>IF(AND(BK$7&gt;=$E33,BK$7&lt;=$F33),1,"")</x:f>
      </x:c>
      <x:c r="BL33" s="314" t="str">
        <x:f>IF(AND(BL$7&gt;=$E33,BL$7&lt;=$F33),1,"")</x:f>
      </x:c>
      <x:c r="BM33" s="314" t="str">
        <x:f>IF(AND(BM$7&gt;=$E33,BM$7&lt;=$F33),1,"")</x:f>
      </x:c>
      <x:c r="BN33" s="314" t="str">
        <x:f>IF(AND(BN$7&gt;=$E33,BN$7&lt;=$F33),1,"")</x:f>
      </x:c>
      <x:c r="BO33" s="314" t="str">
        <x:f>IF(AND(BO$7&gt;=$E33,BO$7&lt;=$F33),1,"")</x:f>
      </x:c>
      <x:c r="BP33" s="314" t="str">
        <x:f>IF(AND(BP$7&gt;=$E33,BP$7&lt;=$F33),1,"")</x:f>
      </x:c>
      <x:c r="BQ33" s="312" t="str">
        <x:f>IF(AND(BQ$7&gt;=$E33,BQ$7&lt;=$F33),1,"")</x:f>
      </x:c>
      <x:c r="BR33" s="310" t="str">
        <x:f>IF(AND(BR$7&gt;=$E33,BR$7&lt;=$F33),1,"")</x:f>
      </x:c>
      <x:c r="BS33" s="310" t="str">
        <x:f>IF(AND(BS$7&gt;=$E33,BS$7&lt;=$F33),1,"")</x:f>
      </x:c>
      <x:c r="BT33" s="310" t="n">
        <x:f>IF(AND(BT$7&gt;=$E33,BT$7&lt;=$F33),1,"")</x:f>
        <x:v>1</x:v>
      </x:c>
      <x:c r="BU33" s="310" t="n">
        <x:f>IF(AND(BU$7&gt;=$E33,BU$7&lt;=$F33),1,"")</x:f>
        <x:v>1</x:v>
      </x:c>
      <x:c r="BV33" s="315" t="n">
        <x:f>IF(AND(BV$7&gt;=$E33,BV$7&lt;=$F33),1,"")</x:f>
        <x:v>1</x:v>
      </x:c>
      <x:c r="BW33" s="315" t="n">
        <x:f>IF(AND(BW$7&gt;=$E33,BW$7&lt;=$F33),1,"")</x:f>
        <x:v>1</x:v>
      </x:c>
      <x:c r="BX33" s="315" t="n">
        <x:f>IF(AND(BX$7&gt;=$E33,BX$7&lt;=$F33),1,"")</x:f>
        <x:v>1</x:v>
      </x:c>
      <x:c r="BY33" s="315" t="n">
        <x:f>IF(AND(BY$7&gt;=$E33,BY$7&lt;=$F33),1,"")</x:f>
        <x:v>1</x:v>
      </x:c>
      <x:c r="BZ33" s="315" t="n">
        <x:f>IF(AND(BZ$7&gt;=$E33,BZ$7&lt;=$F33),1,"")</x:f>
        <x:v>1</x:v>
      </x:c>
      <x:c r="CA33" s="310" t="str">
        <x:f>IF(AND(CA$7&gt;=$E33,CA$7&lt;=$F33),1,"")</x:f>
      </x:c>
      <x:c r="CB33" s="310" t="str">
        <x:f>IF(AND(CB$7&gt;=$E33,CB$7&lt;=$F33),1,"")</x:f>
      </x:c>
      <x:c r="CC33" s="310" t="str">
        <x:f>IF(AND(CC$7&gt;=$E33,CC$7&lt;=$F33),1,"")</x:f>
      </x:c>
      <x:c r="CD33" s="310" t="str">
        <x:f>IF(AND(CD$7&gt;=$E33,CD$7&lt;=$F33),1,"")</x:f>
      </x:c>
      <x:c r="CE33" s="310" t="str">
        <x:f>IF(AND(CE$7&gt;=$E33,CE$7&lt;=$F33),1,"")</x:f>
      </x:c>
      <x:c r="CF33" s="315" t="str">
        <x:f>IF(AND(CF$7&gt;=$E33,CF$7&lt;=$F33),1,"")</x:f>
      </x:c>
      <x:c r="CG33" s="315" t="str">
        <x:f>IF(AND(CG$7&gt;=$E33,CG$7&lt;=$F33),1,"")</x:f>
      </x:c>
      <x:c r="CH33" s="315" t="str">
        <x:f>IF(AND(CH$7&gt;=$E33,CH$7&lt;=$F33),1,"")</x:f>
      </x:c>
      <x:c r="CI33" s="315" t="str">
        <x:f>IF(AND(CI$7&gt;=$E33,CI$7&lt;=$F33),1,"")</x:f>
      </x:c>
      <x:c r="CJ33" s="315" t="str">
        <x:f>IF(AND(CJ$7&gt;=$E33,CJ$7&lt;=$F33),1,"")</x:f>
      </x:c>
      <x:c r="CK33" s="312" t="str">
        <x:f>IF(AND(CK$7&gt;=$E33,CK$7&lt;=$F33),1,"")</x:f>
      </x:c>
      <x:c r="CL33" s="310" t="str">
        <x:f>IF(AND(CL$7&gt;=$E33,CL$7&lt;=$F33),1,"")</x:f>
      </x:c>
      <x:c r="CM33" s="310" t="str">
        <x:f>IF(AND(CM$7&gt;=$E33,CM$7&lt;=$F33),1,"")</x:f>
      </x:c>
      <x:c r="CN33" s="310" t="str">
        <x:f>IF(AND(CN$7&gt;=$E33,CN$7&lt;=$F33),1,"")</x:f>
      </x:c>
      <x:c r="CO33" s="310" t="str">
        <x:f>IF(AND(CO$7&gt;=$E33,CO$7&lt;=$F33),1,"")</x:f>
      </x:c>
      <x:c r="CP33" s="20"/>
    </x:row>
    <x:row r="34" ht="20" customHeight="1">
      <x:c r="B34" s="41" t="str">
        <x:v>4.4</x:v>
      </x:c>
      <x:c r="C34" s="341" t="str">
        <x:v>Validar MVP y preparar evidencia</x:v>
      </x:c>
      <x:c r="D34" s="349" t="str">
        <x:v>Equipo CAPSTONE</x:v>
      </x:c>
      <x:c r="E34" s="232" t="n">
        <x:v>46342</x:v>
      </x:c>
      <x:c r="F34" s="233" t="n">
        <x:v>46346</x:v>
      </x:c>
      <x:c r="G34" s="76" t="n">
        <x:f t="shared" si="0">IF(OR(E34="",F34=""),"",NETWORKDAYS(E34,F34))</x:f>
        <x:v>5</x:v>
      </x:c>
      <x:c r="H34" s="245" t="n">
        <x:v>0</x:v>
      </x:c>
      <x:c r="I34" s="316" t="str">
        <x:f>IF(AND(I$7&gt;=$E34,I$7&lt;=$F34),1,"")</x:f>
      </x:c>
      <x:c r="J34" s="317" t="str">
        <x:f>IF(AND(J$7&gt;=$E34,J$7&lt;=$F34),1,"")</x:f>
      </x:c>
      <x:c r="K34" s="317" t="str">
        <x:f>IF(AND(K$7&gt;=$E34,K$7&lt;=$F34),1,"")</x:f>
      </x:c>
      <x:c r="L34" s="317" t="str">
        <x:f>IF(AND(L$7&gt;=$E34,L$7&lt;=$F34),1,"")</x:f>
      </x:c>
      <x:c r="M34" s="317" t="str">
        <x:f>IF(AND(M$7&gt;=$E34,M$7&lt;=$F34),1,"")</x:f>
      </x:c>
      <x:c r="N34" s="318" t="str">
        <x:f>IF(AND(N$7&gt;=$E34,N$7&lt;=$F34),1,"")</x:f>
      </x:c>
      <x:c r="O34" s="318" t="str">
        <x:f>IF(AND(O$7&gt;=$E34,O$7&lt;=$F34),1,"")</x:f>
      </x:c>
      <x:c r="P34" s="318" t="str">
        <x:f>IF(AND(P$7&gt;=$E34,P$7&lt;=$F34),1,"")</x:f>
      </x:c>
      <x:c r="Q34" s="318" t="str">
        <x:f>IF(AND(Q$7&gt;=$E34,Q$7&lt;=$F34),1,"")</x:f>
      </x:c>
      <x:c r="R34" s="318" t="str">
        <x:f>IF(AND(R$7&gt;=$E34,R$7&lt;=$F34),1,"")</x:f>
      </x:c>
      <x:c r="S34" s="317" t="str">
        <x:f>IF(AND(S$7&gt;=$E34,S$7&lt;=$F34),1,"")</x:f>
      </x:c>
      <x:c r="T34" s="317" t="str">
        <x:f>IF(AND(T$7&gt;=$E34,T$7&lt;=$F34),1,"")</x:f>
      </x:c>
      <x:c r="U34" s="317" t="str">
        <x:f>IF(AND(U$7&gt;=$E34,U$7&lt;=$F34),1,"")</x:f>
      </x:c>
      <x:c r="V34" s="317" t="str">
        <x:f>IF(AND(V$7&gt;=$E34,V$7&lt;=$F34),1,"")</x:f>
      </x:c>
      <x:c r="W34" s="317" t="str">
        <x:f>IF(AND(W$7&gt;=$E34,W$7&lt;=$F34),1,"")</x:f>
      </x:c>
      <x:c r="X34" s="318" t="str">
        <x:f>IF(AND(X$7&gt;=$E34,X$7&lt;=$F34),1,"")</x:f>
      </x:c>
      <x:c r="Y34" s="318" t="str">
        <x:f>IF(AND(Y$7&gt;=$E34,Y$7&lt;=$F34),1,"")</x:f>
      </x:c>
      <x:c r="Z34" s="318" t="str">
        <x:f>IF(AND(Z$7&gt;=$E34,Z$7&lt;=$F34),1,"")</x:f>
      </x:c>
      <x:c r="AA34" s="318" t="str">
        <x:f>IF(AND(AA$7&gt;=$E34,AA$7&lt;=$F34),1,"")</x:f>
      </x:c>
      <x:c r="AB34" s="318" t="str">
        <x:f>IF(AND(AB$7&gt;=$E34,AB$7&lt;=$F34),1,"")</x:f>
      </x:c>
      <x:c r="AC34" s="319" t="str">
        <x:f>IF(AND(AC$7&gt;=$E34,AC$7&lt;=$F34),1,"")</x:f>
      </x:c>
      <x:c r="AD34" s="317" t="str">
        <x:f>IF(AND(AD$7&gt;=$E34,AD$7&lt;=$F34),1,"")</x:f>
      </x:c>
      <x:c r="AE34" s="317" t="str">
        <x:f>IF(AND(AE$7&gt;=$E34,AE$7&lt;=$F34),1,"")</x:f>
      </x:c>
      <x:c r="AF34" s="317" t="str">
        <x:f>IF(AND(AF$7&gt;=$E34,AF$7&lt;=$F34),1,"")</x:f>
      </x:c>
      <x:c r="AG34" s="317" t="str">
        <x:f>IF(AND(AG$7&gt;=$E34,AG$7&lt;=$F34),1,"")</x:f>
      </x:c>
      <x:c r="AH34" s="320" t="str">
        <x:f>IF(AND(AH$7&gt;=$E34,AH$7&lt;=$F34),1,"")</x:f>
      </x:c>
      <x:c r="AI34" s="320" t="str">
        <x:f>IF(AND(AI$7&gt;=$E34,AI$7&lt;=$F34),1,"")</x:f>
      </x:c>
      <x:c r="AJ34" s="320" t="str">
        <x:f>IF(AND(AJ$7&gt;=$E34,AJ$7&lt;=$F34),1,"")</x:f>
      </x:c>
      <x:c r="AK34" s="320" t="str">
        <x:f>IF(AND(AK$7&gt;=$E34,AK$7&lt;=$F34),1,"")</x:f>
      </x:c>
      <x:c r="AL34" s="320" t="str">
        <x:f>IF(AND(AL$7&gt;=$E34,AL$7&lt;=$F34),1,"")</x:f>
      </x:c>
      <x:c r="AM34" s="317" t="str">
        <x:f>IF(AND(AM$7&gt;=$E34,AM$7&lt;=$F34),1,"")</x:f>
      </x:c>
      <x:c r="AN34" s="317" t="str">
        <x:f>IF(AND(AN$7&gt;=$E34,AN$7&lt;=$F34),1,"")</x:f>
      </x:c>
      <x:c r="AO34" s="317" t="str">
        <x:f>IF(AND(AO$7&gt;=$E34,AO$7&lt;=$F34),1,"")</x:f>
      </x:c>
      <x:c r="AP34" s="317" t="str">
        <x:f>IF(AND(AP$7&gt;=$E34,AP$7&lt;=$F34),1,"")</x:f>
      </x:c>
      <x:c r="AQ34" s="317" t="str">
        <x:f>IF(AND(AQ$7&gt;=$E34,AQ$7&lt;=$F34),1,"")</x:f>
      </x:c>
      <x:c r="AR34" s="320" t="str">
        <x:f>IF(AND(AR$7&gt;=$E34,AR$7&lt;=$F34),1,"")</x:f>
      </x:c>
      <x:c r="AS34" s="320" t="str">
        <x:f>IF(AND(AS$7&gt;=$E34,AS$7&lt;=$F34),1,"")</x:f>
      </x:c>
      <x:c r="AT34" s="320" t="str">
        <x:f>IF(AND(AT$7&gt;=$E34,AT$7&lt;=$F34),1,"")</x:f>
      </x:c>
      <x:c r="AU34" s="320" t="str">
        <x:f>IF(AND(AU$7&gt;=$E34,AU$7&lt;=$F34),1,"")</x:f>
      </x:c>
      <x:c r="AV34" s="320" t="str">
        <x:f>IF(AND(AV$7&gt;=$E34,AV$7&lt;=$F34),1,"")</x:f>
      </x:c>
      <x:c r="AW34" s="319" t="str">
        <x:f>IF(AND(AW$7&gt;=$E34,AW$7&lt;=$F34),1,"")</x:f>
      </x:c>
      <x:c r="AX34" s="317" t="str">
        <x:f>IF(AND(AX$7&gt;=$E34,AX$7&lt;=$F34),1,"")</x:f>
      </x:c>
      <x:c r="AY34" s="317" t="str">
        <x:f>IF(AND(AY$7&gt;=$E34,AY$7&lt;=$F34),1,"")</x:f>
      </x:c>
      <x:c r="AZ34" s="317" t="str">
        <x:f>IF(AND(AZ$7&gt;=$E34,AZ$7&lt;=$F34),1,"")</x:f>
      </x:c>
      <x:c r="BA34" s="317" t="str">
        <x:f>IF(AND(BA$7&gt;=$E34,BA$7&lt;=$F34),1,"")</x:f>
      </x:c>
      <x:c r="BB34" s="321" t="str">
        <x:f>IF(AND(BB$7&gt;=$E34,BB$7&lt;=$F34),1,"")</x:f>
      </x:c>
      <x:c r="BC34" s="321" t="str">
        <x:f>IF(AND(BC$7&gt;=$E34,BC$7&lt;=$F34),1,"")</x:f>
      </x:c>
      <x:c r="BD34" s="321" t="str">
        <x:f>IF(AND(BD$7&gt;=$E34,BD$7&lt;=$F34),1,"")</x:f>
      </x:c>
      <x:c r="BE34" s="321" t="str">
        <x:f>IF(AND(BE$7&gt;=$E34,BE$7&lt;=$F34),1,"")</x:f>
      </x:c>
      <x:c r="BF34" s="321" t="str">
        <x:f>IF(AND(BF$7&gt;=$E34,BF$7&lt;=$F34),1,"")</x:f>
      </x:c>
      <x:c r="BG34" s="317" t="str">
        <x:f>IF(AND(BG$7&gt;=$E34,BG$7&lt;=$F34),1,"")</x:f>
      </x:c>
      <x:c r="BH34" s="317" t="str">
        <x:f>IF(AND(BH$7&gt;=$E34,BH$7&lt;=$F34),1,"")</x:f>
      </x:c>
      <x:c r="BI34" s="317" t="str">
        <x:f>IF(AND(BI$7&gt;=$E34,BI$7&lt;=$F34),1,"")</x:f>
      </x:c>
      <x:c r="BJ34" s="317" t="str">
        <x:f>IF(AND(BJ$7&gt;=$E34,BJ$7&lt;=$F34),1,"")</x:f>
      </x:c>
      <x:c r="BK34" s="317" t="str">
        <x:f>IF(AND(BK$7&gt;=$E34,BK$7&lt;=$F34),1,"")</x:f>
      </x:c>
      <x:c r="BL34" s="321" t="str">
        <x:f>IF(AND(BL$7&gt;=$E34,BL$7&lt;=$F34),1,"")</x:f>
      </x:c>
      <x:c r="BM34" s="321" t="str">
        <x:f>IF(AND(BM$7&gt;=$E34,BM$7&lt;=$F34),1,"")</x:f>
      </x:c>
      <x:c r="BN34" s="321" t="str">
        <x:f>IF(AND(BN$7&gt;=$E34,BN$7&lt;=$F34),1,"")</x:f>
      </x:c>
      <x:c r="BO34" s="321" t="str">
        <x:f>IF(AND(BO$7&gt;=$E34,BO$7&lt;=$F34),1,"")</x:f>
      </x:c>
      <x:c r="BP34" s="321" t="str">
        <x:f>IF(AND(BP$7&gt;=$E34,BP$7&lt;=$F34),1,"")</x:f>
      </x:c>
      <x:c r="BQ34" s="319" t="str">
        <x:f>IF(AND(BQ$7&gt;=$E34,BQ$7&lt;=$F34),1,"")</x:f>
      </x:c>
      <x:c r="BR34" s="317" t="str">
        <x:f>IF(AND(BR$7&gt;=$E34,BR$7&lt;=$F34),1,"")</x:f>
      </x:c>
      <x:c r="BS34" s="317" t="str">
        <x:f>IF(AND(BS$7&gt;=$E34,BS$7&lt;=$F34),1,"")</x:f>
      </x:c>
      <x:c r="BT34" s="317" t="str">
        <x:f>IF(AND(BT$7&gt;=$E34,BT$7&lt;=$F34),1,"")</x:f>
      </x:c>
      <x:c r="BU34" s="317" t="str">
        <x:f>IF(AND(BU$7&gt;=$E34,BU$7&lt;=$F34),1,"")</x:f>
      </x:c>
      <x:c r="BV34" s="322" t="str">
        <x:f>IF(AND(BV$7&gt;=$E34,BV$7&lt;=$F34),1,"")</x:f>
      </x:c>
      <x:c r="BW34" s="322" t="str">
        <x:f>IF(AND(BW$7&gt;=$E34,BW$7&lt;=$F34),1,"")</x:f>
      </x:c>
      <x:c r="BX34" s="322" t="str">
        <x:f>IF(AND(BX$7&gt;=$E34,BX$7&lt;=$F34),1,"")</x:f>
      </x:c>
      <x:c r="BY34" s="322" t="str">
        <x:f>IF(AND(BY$7&gt;=$E34,BY$7&lt;=$F34),1,"")</x:f>
      </x:c>
      <x:c r="BZ34" s="322" t="str">
        <x:f>IF(AND(BZ$7&gt;=$E34,BZ$7&lt;=$F34),1,"")</x:f>
      </x:c>
      <x:c r="CA34" s="317" t="n">
        <x:f>IF(AND(CA$7&gt;=$E34,CA$7&lt;=$F34),1,"")</x:f>
        <x:v>1</x:v>
      </x:c>
      <x:c r="CB34" s="317" t="n">
        <x:f>IF(AND(CB$7&gt;=$E34,CB$7&lt;=$F34),1,"")</x:f>
        <x:v>1</x:v>
      </x:c>
      <x:c r="CC34" s="317" t="n">
        <x:f>IF(AND(CC$7&gt;=$E34,CC$7&lt;=$F34),1,"")</x:f>
        <x:v>1</x:v>
      </x:c>
      <x:c r="CD34" s="317" t="n">
        <x:f>IF(AND(CD$7&gt;=$E34,CD$7&lt;=$F34),1,"")</x:f>
        <x:v>1</x:v>
      </x:c>
      <x:c r="CE34" s="317" t="n">
        <x:f>IF(AND(CE$7&gt;=$E34,CE$7&lt;=$F34),1,"")</x:f>
        <x:v>1</x:v>
      </x:c>
      <x:c r="CF34" s="322" t="str">
        <x:f>IF(AND(CF$7&gt;=$E34,CF$7&lt;=$F34),1,"")</x:f>
      </x:c>
      <x:c r="CG34" s="322" t="str">
        <x:f>IF(AND(CG$7&gt;=$E34,CG$7&lt;=$F34),1,"")</x:f>
      </x:c>
      <x:c r="CH34" s="322" t="str">
        <x:f>IF(AND(CH$7&gt;=$E34,CH$7&lt;=$F34),1,"")</x:f>
      </x:c>
      <x:c r="CI34" s="322" t="str">
        <x:f>IF(AND(CI$7&gt;=$E34,CI$7&lt;=$F34),1,"")</x:f>
      </x:c>
      <x:c r="CJ34" s="322" t="str">
        <x:f>IF(AND(CJ$7&gt;=$E34,CJ$7&lt;=$F34),1,"")</x:f>
      </x:c>
      <x:c r="CK34" s="319" t="str">
        <x:f>IF(AND(CK$7&gt;=$E34,CK$7&lt;=$F34),1,"")</x:f>
      </x:c>
      <x:c r="CL34" s="317" t="str">
        <x:f>IF(AND(CL$7&gt;=$E34,CL$7&lt;=$F34),1,"")</x:f>
      </x:c>
      <x:c r="CM34" s="317" t="str">
        <x:f>IF(AND(CM$7&gt;=$E34,CM$7&lt;=$F34),1,"")</x:f>
      </x:c>
      <x:c r="CN34" s="317" t="str">
        <x:f>IF(AND(CN$7&gt;=$E34,CN$7&lt;=$F34),1,"")</x:f>
      </x:c>
      <x:c r="CO34" s="317" t="str">
        <x:f>IF(AND(CO$7&gt;=$E34,CO$7&lt;=$F34),1,"")</x:f>
      </x:c>
      <x:c r="CP34" s="25"/>
    </x:row>
    <x:row r="35" ht="20" customHeight="1">
      <x:c r="B35" s="41" t="str">
        <x:v>5</x:v>
      </x:c>
      <x:c r="C35" s="342" t="str">
        <x:v>FASE 5 — CIERRE Y PRESENTACIÓN</x:v>
      </x:c>
      <x:c r="D35" s="348" t="str">
        <x:v>Equipo CAPSTONE</x:v>
      </x:c>
      <x:c r="E35" s="230" t="n">
        <x:v>46349</x:v>
      </x:c>
      <x:c r="F35" s="231" t="n">
        <x:v>46360</x:v>
      </x:c>
      <x:c r="G35" s="48" t="n">
        <x:f t="shared" ref="G35:G39" si="1">IF(OR(E35="",F35=""),"",NETWORKDAYS(E35,F35))</x:f>
        <x:v>10</x:v>
      </x:c>
      <x:c r="H35" s="244" t="n">
        <x:v>0</x:v>
      </x:c>
      <x:c r="I35" s="306" t="str">
        <x:f>IF(AND(I$7&gt;=$E35,I$7&lt;=$F35),1,"")</x:f>
      </x:c>
      <x:c r="J35" s="307" t="str">
        <x:f>IF(AND(J$7&gt;=$E35,J$7&lt;=$F35),1,"")</x:f>
      </x:c>
      <x:c r="K35" s="307" t="str">
        <x:f>IF(AND(K$7&gt;=$E35,K$7&lt;=$F35),1,"")</x:f>
      </x:c>
      <x:c r="L35" s="307" t="str">
        <x:f>IF(AND(L$7&gt;=$E35,L$7&lt;=$F35),1,"")</x:f>
      </x:c>
      <x:c r="M35" s="307" t="str">
        <x:f>IF(AND(M$7&gt;=$E35,M$7&lt;=$F35),1,"")</x:f>
      </x:c>
      <x:c r="N35" s="307" t="str">
        <x:f>IF(AND(N$7&gt;=$E35,N$7&lt;=$F35),1,"")</x:f>
      </x:c>
      <x:c r="O35" s="307" t="str">
        <x:f>IF(AND(O$7&gt;=$E35,O$7&lt;=$F35),1,"")</x:f>
      </x:c>
      <x:c r="P35" s="307" t="str">
        <x:f>IF(AND(P$7&gt;=$E35,P$7&lt;=$F35),1,"")</x:f>
      </x:c>
      <x:c r="Q35" s="307" t="str">
        <x:f>IF(AND(Q$7&gt;=$E35,Q$7&lt;=$F35),1,"")</x:f>
      </x:c>
      <x:c r="R35" s="307" t="str">
        <x:f>IF(AND(R$7&gt;=$E35,R$7&lt;=$F35),1,"")</x:f>
      </x:c>
      <x:c r="S35" s="307" t="str">
        <x:f>IF(AND(S$7&gt;=$E35,S$7&lt;=$F35),1,"")</x:f>
      </x:c>
      <x:c r="T35" s="307" t="str">
        <x:f>IF(AND(T$7&gt;=$E35,T$7&lt;=$F35),1,"")</x:f>
      </x:c>
      <x:c r="U35" s="307" t="str">
        <x:f>IF(AND(U$7&gt;=$E35,U$7&lt;=$F35),1,"")</x:f>
      </x:c>
      <x:c r="V35" s="307" t="str">
        <x:f>IF(AND(V$7&gt;=$E35,V$7&lt;=$F35),1,"")</x:f>
      </x:c>
      <x:c r="W35" s="307" t="str">
        <x:f>IF(AND(W$7&gt;=$E35,W$7&lt;=$F35),1,"")</x:f>
      </x:c>
      <x:c r="X35" s="307" t="str">
        <x:f>IF(AND(X$7&gt;=$E35,X$7&lt;=$F35),1,"")</x:f>
      </x:c>
      <x:c r="Y35" s="307" t="str">
        <x:f>IF(AND(Y$7&gt;=$E35,Y$7&lt;=$F35),1,"")</x:f>
      </x:c>
      <x:c r="Z35" s="307" t="str">
        <x:f>IF(AND(Z$7&gt;=$E35,Z$7&lt;=$F35),1,"")</x:f>
      </x:c>
      <x:c r="AA35" s="307" t="str">
        <x:f>IF(AND(AA$7&gt;=$E35,AA$7&lt;=$F35),1,"")</x:f>
      </x:c>
      <x:c r="AB35" s="307" t="str">
        <x:f>IF(AND(AB$7&gt;=$E35,AB$7&lt;=$F35),1,"")</x:f>
      </x:c>
      <x:c r="AC35" s="308" t="str">
        <x:f>IF(AND(AC$7&gt;=$E35,AC$7&lt;=$F35),1,"")</x:f>
      </x:c>
      <x:c r="AD35" s="307" t="str">
        <x:f>IF(AND(AD$7&gt;=$E35,AD$7&lt;=$F35),1,"")</x:f>
      </x:c>
      <x:c r="AE35" s="307" t="str">
        <x:f>IF(AND(AE$7&gt;=$E35,AE$7&lt;=$F35),1,"")</x:f>
      </x:c>
      <x:c r="AF35" s="307" t="str">
        <x:f>IF(AND(AF$7&gt;=$E35,AF$7&lt;=$F35),1,"")</x:f>
      </x:c>
      <x:c r="AG35" s="307" t="str">
        <x:f>IF(AND(AG$7&gt;=$E35,AG$7&lt;=$F35),1,"")</x:f>
      </x:c>
      <x:c r="AH35" s="307" t="str">
        <x:f>IF(AND(AH$7&gt;=$E35,AH$7&lt;=$F35),1,"")</x:f>
      </x:c>
      <x:c r="AI35" s="307" t="str">
        <x:f>IF(AND(AI$7&gt;=$E35,AI$7&lt;=$F35),1,"")</x:f>
      </x:c>
      <x:c r="AJ35" s="307" t="str">
        <x:f>IF(AND(AJ$7&gt;=$E35,AJ$7&lt;=$F35),1,"")</x:f>
      </x:c>
      <x:c r="AK35" s="307" t="str">
        <x:f>IF(AND(AK$7&gt;=$E35,AK$7&lt;=$F35),1,"")</x:f>
      </x:c>
      <x:c r="AL35" s="307" t="str">
        <x:f>IF(AND(AL$7&gt;=$E35,AL$7&lt;=$F35),1,"")</x:f>
      </x:c>
      <x:c r="AM35" s="307" t="str">
        <x:f>IF(AND(AM$7&gt;=$E35,AM$7&lt;=$F35),1,"")</x:f>
      </x:c>
      <x:c r="AN35" s="307" t="str">
        <x:f>IF(AND(AN$7&gt;=$E35,AN$7&lt;=$F35),1,"")</x:f>
      </x:c>
      <x:c r="AO35" s="307" t="str">
        <x:f>IF(AND(AO$7&gt;=$E35,AO$7&lt;=$F35),1,"")</x:f>
      </x:c>
      <x:c r="AP35" s="307" t="str">
        <x:f>IF(AND(AP$7&gt;=$E35,AP$7&lt;=$F35),1,"")</x:f>
      </x:c>
      <x:c r="AQ35" s="307" t="str">
        <x:f>IF(AND(AQ$7&gt;=$E35,AQ$7&lt;=$F35),1,"")</x:f>
      </x:c>
      <x:c r="AR35" s="307" t="str">
        <x:f>IF(AND(AR$7&gt;=$E35,AR$7&lt;=$F35),1,"")</x:f>
      </x:c>
      <x:c r="AS35" s="307" t="str">
        <x:f>IF(AND(AS$7&gt;=$E35,AS$7&lt;=$F35),1,"")</x:f>
      </x:c>
      <x:c r="AT35" s="307" t="str">
        <x:f>IF(AND(AT$7&gt;=$E35,AT$7&lt;=$F35),1,"")</x:f>
      </x:c>
      <x:c r="AU35" s="307" t="str">
        <x:f>IF(AND(AU$7&gt;=$E35,AU$7&lt;=$F35),1,"")</x:f>
      </x:c>
      <x:c r="AV35" s="307" t="str">
        <x:f>IF(AND(AV$7&gt;=$E35,AV$7&lt;=$F35),1,"")</x:f>
      </x:c>
      <x:c r="AW35" s="308" t="str">
        <x:f>IF(AND(AW$7&gt;=$E35,AW$7&lt;=$F35),1,"")</x:f>
      </x:c>
      <x:c r="AX35" s="307" t="str">
        <x:f>IF(AND(AX$7&gt;=$E35,AX$7&lt;=$F35),1,"")</x:f>
      </x:c>
      <x:c r="AY35" s="307" t="str">
        <x:f>IF(AND(AY$7&gt;=$E35,AY$7&lt;=$F35),1,"")</x:f>
      </x:c>
      <x:c r="AZ35" s="307" t="str">
        <x:f>IF(AND(AZ$7&gt;=$E35,AZ$7&lt;=$F35),1,"")</x:f>
      </x:c>
      <x:c r="BA35" s="307" t="str">
        <x:f>IF(AND(BA$7&gt;=$E35,BA$7&lt;=$F35),1,"")</x:f>
      </x:c>
      <x:c r="BB35" s="307" t="str">
        <x:f>IF(AND(BB$7&gt;=$E35,BB$7&lt;=$F35),1,"")</x:f>
      </x:c>
      <x:c r="BC35" s="307" t="str">
        <x:f>IF(AND(BC$7&gt;=$E35,BC$7&lt;=$F35),1,"")</x:f>
      </x:c>
      <x:c r="BD35" s="307" t="str">
        <x:f>IF(AND(BD$7&gt;=$E35,BD$7&lt;=$F35),1,"")</x:f>
      </x:c>
      <x:c r="BE35" s="307" t="str">
        <x:f>IF(AND(BE$7&gt;=$E35,BE$7&lt;=$F35),1,"")</x:f>
      </x:c>
      <x:c r="BF35" s="307" t="str">
        <x:f>IF(AND(BF$7&gt;=$E35,BF$7&lt;=$F35),1,"")</x:f>
      </x:c>
      <x:c r="BG35" s="307" t="str">
        <x:f>IF(AND(BG$7&gt;=$E35,BG$7&lt;=$F35),1,"")</x:f>
      </x:c>
      <x:c r="BH35" s="307" t="str">
        <x:f>IF(AND(BH$7&gt;=$E35,BH$7&lt;=$F35),1,"")</x:f>
      </x:c>
      <x:c r="BI35" s="307" t="str">
        <x:f>IF(AND(BI$7&gt;=$E35,BI$7&lt;=$F35),1,"")</x:f>
      </x:c>
      <x:c r="BJ35" s="307" t="str">
        <x:f>IF(AND(BJ$7&gt;=$E35,BJ$7&lt;=$F35),1,"")</x:f>
      </x:c>
      <x:c r="BK35" s="307" t="str">
        <x:f>IF(AND(BK$7&gt;=$E35,BK$7&lt;=$F35),1,"")</x:f>
      </x:c>
      <x:c r="BL35" s="307" t="str">
        <x:f>IF(AND(BL$7&gt;=$E35,BL$7&lt;=$F35),1,"")</x:f>
      </x:c>
      <x:c r="BM35" s="307" t="str">
        <x:f>IF(AND(BM$7&gt;=$E35,BM$7&lt;=$F35),1,"")</x:f>
      </x:c>
      <x:c r="BN35" s="307" t="str">
        <x:f>IF(AND(BN$7&gt;=$E35,BN$7&lt;=$F35),1,"")</x:f>
      </x:c>
      <x:c r="BO35" s="307" t="str">
        <x:f>IF(AND(BO$7&gt;=$E35,BO$7&lt;=$F35),1,"")</x:f>
      </x:c>
      <x:c r="BP35" s="307" t="str">
        <x:f>IF(AND(BP$7&gt;=$E35,BP$7&lt;=$F35),1,"")</x:f>
      </x:c>
      <x:c r="BQ35" s="308" t="str">
        <x:f>IF(AND(BQ$7&gt;=$E35,BQ$7&lt;=$F35),1,"")</x:f>
      </x:c>
      <x:c r="BR35" s="307" t="str">
        <x:f>IF(AND(BR$7&gt;=$E35,BR$7&lt;=$F35),1,"")</x:f>
      </x:c>
      <x:c r="BS35" s="307" t="str">
        <x:f>IF(AND(BS$7&gt;=$E35,BS$7&lt;=$F35),1,"")</x:f>
      </x:c>
      <x:c r="BT35" s="307" t="str">
        <x:f>IF(AND(BT$7&gt;=$E35,BT$7&lt;=$F35),1,"")</x:f>
      </x:c>
      <x:c r="BU35" s="307" t="str">
        <x:f>IF(AND(BU$7&gt;=$E35,BU$7&lt;=$F35),1,"")</x:f>
      </x:c>
      <x:c r="BV35" s="307" t="str">
        <x:f>IF(AND(BV$7&gt;=$E35,BV$7&lt;=$F35),1,"")</x:f>
      </x:c>
      <x:c r="BW35" s="307" t="str">
        <x:f>IF(AND(BW$7&gt;=$E35,BW$7&lt;=$F35),1,"")</x:f>
      </x:c>
      <x:c r="BX35" s="307" t="str">
        <x:f>IF(AND(BX$7&gt;=$E35,BX$7&lt;=$F35),1,"")</x:f>
      </x:c>
      <x:c r="BY35" s="307" t="str">
        <x:f>IF(AND(BY$7&gt;=$E35,BY$7&lt;=$F35),1,"")</x:f>
      </x:c>
      <x:c r="BZ35" s="307" t="str">
        <x:f>IF(AND(BZ$7&gt;=$E35,BZ$7&lt;=$F35),1,"")</x:f>
      </x:c>
      <x:c r="CA35" s="307" t="str">
        <x:f>IF(AND(CA$7&gt;=$E35,CA$7&lt;=$F35),1,"")</x:f>
      </x:c>
      <x:c r="CB35" s="307" t="str">
        <x:f>IF(AND(CB$7&gt;=$E35,CB$7&lt;=$F35),1,"")</x:f>
      </x:c>
      <x:c r="CC35" s="307" t="str">
        <x:f>IF(AND(CC$7&gt;=$E35,CC$7&lt;=$F35),1,"")</x:f>
      </x:c>
      <x:c r="CD35" s="307" t="str">
        <x:f>IF(AND(CD$7&gt;=$E35,CD$7&lt;=$F35),1,"")</x:f>
      </x:c>
      <x:c r="CE35" s="307" t="str">
        <x:f>IF(AND(CE$7&gt;=$E35,CE$7&lt;=$F35),1,"")</x:f>
      </x:c>
      <x:c r="CF35" s="307" t="n">
        <x:f>IF(AND(CF$7&gt;=$E35,CF$7&lt;=$F35),1,"")</x:f>
        <x:v>1</x:v>
      </x:c>
      <x:c r="CG35" s="307" t="n">
        <x:f>IF(AND(CG$7&gt;=$E35,CG$7&lt;=$F35),1,"")</x:f>
        <x:v>1</x:v>
      </x:c>
      <x:c r="CH35" s="307" t="n">
        <x:f>IF(AND(CH$7&gt;=$E35,CH$7&lt;=$F35),1,"")</x:f>
        <x:v>1</x:v>
      </x:c>
      <x:c r="CI35" s="307" t="n">
        <x:f>IF(AND(CI$7&gt;=$E35,CI$7&lt;=$F35),1,"")</x:f>
        <x:v>1</x:v>
      </x:c>
      <x:c r="CJ35" s="307" t="n">
        <x:f>IF(AND(CJ$7&gt;=$E35,CJ$7&lt;=$F35),1,"")</x:f>
        <x:v>1</x:v>
      </x:c>
      <x:c r="CK35" s="308" t="n">
        <x:f>IF(AND(CK$7&gt;=$E35,CK$7&lt;=$F35),1,"")</x:f>
        <x:v>1</x:v>
      </x:c>
      <x:c r="CL35" s="307" t="n">
        <x:f>IF(AND(CL$7&gt;=$E35,CL$7&lt;=$F35),1,"")</x:f>
        <x:v>1</x:v>
      </x:c>
      <x:c r="CM35" s="307" t="n">
        <x:f>IF(AND(CM$7&gt;=$E35,CM$7&lt;=$F35),1,"")</x:f>
        <x:v>1</x:v>
      </x:c>
      <x:c r="CN35" s="307" t="n">
        <x:f>IF(AND(CN$7&gt;=$E35,CN$7&lt;=$F35),1,"")</x:f>
        <x:v>1</x:v>
      </x:c>
      <x:c r="CO35" s="307" t="n">
        <x:f>IF(AND(CO$7&gt;=$E35,CO$7&lt;=$F35),1,"")</x:f>
        <x:v>1</x:v>
      </x:c>
      <x:c r="CP35" s="18"/>
    </x:row>
    <x:row r="36" ht="20" customHeight="1">
      <x:c r="B36" s="41" t="str">
        <x:v>5.1</x:v>
      </x:c>
      <x:c r="C36" s="341" t="str">
        <x:v>Consolidar documentación técnica y funcional</x:v>
      </x:c>
      <x:c r="D36" s="347" t="str">
        <x:v>Equipo CAPSTONE</x:v>
      </x:c>
      <x:c r="E36" s="228" t="n">
        <x:v>46349</x:v>
      </x:c>
      <x:c r="F36" s="229" t="n">
        <x:v>46353</x:v>
      </x:c>
      <x:c r="G36" s="75" t="n">
        <x:f t="shared" si="1">IF(OR(E36="",F36=""),"",NETWORKDAYS(E36,F36))</x:f>
        <x:v>5</x:v>
      </x:c>
      <x:c r="H36" s="243" t="n">
        <x:v>0</x:v>
      </x:c>
      <x:c r="I36" s="309" t="str">
        <x:f>IF(AND(I$7&gt;=$E36,I$7&lt;=$F36),1,"")</x:f>
      </x:c>
      <x:c r="J36" s="310" t="str">
        <x:f>IF(AND(J$7&gt;=$E36,J$7&lt;=$F36),1,"")</x:f>
      </x:c>
      <x:c r="K36" s="310" t="str">
        <x:f>IF(AND(K$7&gt;=$E36,K$7&lt;=$F36),1,"")</x:f>
      </x:c>
      <x:c r="L36" s="310" t="str">
        <x:f>IF(AND(L$7&gt;=$E36,L$7&lt;=$F36),1,"")</x:f>
      </x:c>
      <x:c r="M36" s="310" t="str">
        <x:f>IF(AND(M$7&gt;=$E36,M$7&lt;=$F36),1,"")</x:f>
      </x:c>
      <x:c r="N36" s="311" t="str">
        <x:f>IF(AND(N$7&gt;=$E36,N$7&lt;=$F36),1,"")</x:f>
      </x:c>
      <x:c r="O36" s="311" t="str">
        <x:f>IF(AND(O$7&gt;=$E36,O$7&lt;=$F36),1,"")</x:f>
      </x:c>
      <x:c r="P36" s="311" t="str">
        <x:f>IF(AND(P$7&gt;=$E36,P$7&lt;=$F36),1,"")</x:f>
      </x:c>
      <x:c r="Q36" s="311" t="str">
        <x:f>IF(AND(Q$7&gt;=$E36,Q$7&lt;=$F36),1,"")</x:f>
      </x:c>
      <x:c r="R36" s="311" t="str">
        <x:f>IF(AND(R$7&gt;=$E36,R$7&lt;=$F36),1,"")</x:f>
      </x:c>
      <x:c r="S36" s="310" t="str">
        <x:f>IF(AND(S$7&gt;=$E36,S$7&lt;=$F36),1,"")</x:f>
      </x:c>
      <x:c r="T36" s="310" t="str">
        <x:f>IF(AND(T$7&gt;=$E36,T$7&lt;=$F36),1,"")</x:f>
      </x:c>
      <x:c r="U36" s="310" t="str">
        <x:f>IF(AND(U$7&gt;=$E36,U$7&lt;=$F36),1,"")</x:f>
      </x:c>
      <x:c r="V36" s="310" t="str">
        <x:f>IF(AND(V$7&gt;=$E36,V$7&lt;=$F36),1,"")</x:f>
      </x:c>
      <x:c r="W36" s="310" t="str">
        <x:f>IF(AND(W$7&gt;=$E36,W$7&lt;=$F36),1,"")</x:f>
      </x:c>
      <x:c r="X36" s="311" t="str">
        <x:f>IF(AND(X$7&gt;=$E36,X$7&lt;=$F36),1,"")</x:f>
      </x:c>
      <x:c r="Y36" s="311" t="str">
        <x:f>IF(AND(Y$7&gt;=$E36,Y$7&lt;=$F36),1,"")</x:f>
      </x:c>
      <x:c r="Z36" s="311" t="str">
        <x:f>IF(AND(Z$7&gt;=$E36,Z$7&lt;=$F36),1,"")</x:f>
      </x:c>
      <x:c r="AA36" s="311" t="str">
        <x:f>IF(AND(AA$7&gt;=$E36,AA$7&lt;=$F36),1,"")</x:f>
      </x:c>
      <x:c r="AB36" s="311" t="str">
        <x:f>IF(AND(AB$7&gt;=$E36,AB$7&lt;=$F36),1,"")</x:f>
      </x:c>
      <x:c r="AC36" s="312" t="str">
        <x:f>IF(AND(AC$7&gt;=$E36,AC$7&lt;=$F36),1,"")</x:f>
      </x:c>
      <x:c r="AD36" s="310" t="str">
        <x:f>IF(AND(AD$7&gt;=$E36,AD$7&lt;=$F36),1,"")</x:f>
      </x:c>
      <x:c r="AE36" s="310" t="str">
        <x:f>IF(AND(AE$7&gt;=$E36,AE$7&lt;=$F36),1,"")</x:f>
      </x:c>
      <x:c r="AF36" s="310" t="str">
        <x:f>IF(AND(AF$7&gt;=$E36,AF$7&lt;=$F36),1,"")</x:f>
      </x:c>
      <x:c r="AG36" s="310" t="str">
        <x:f>IF(AND(AG$7&gt;=$E36,AG$7&lt;=$F36),1,"")</x:f>
      </x:c>
      <x:c r="AH36" s="313" t="str">
        <x:f>IF(AND(AH$7&gt;=$E36,AH$7&lt;=$F36),1,"")</x:f>
      </x:c>
      <x:c r="AI36" s="313" t="str">
        <x:f>IF(AND(AI$7&gt;=$E36,AI$7&lt;=$F36),1,"")</x:f>
      </x:c>
      <x:c r="AJ36" s="313" t="str">
        <x:f>IF(AND(AJ$7&gt;=$E36,AJ$7&lt;=$F36),1,"")</x:f>
      </x:c>
      <x:c r="AK36" s="313" t="str">
        <x:f>IF(AND(AK$7&gt;=$E36,AK$7&lt;=$F36),1,"")</x:f>
      </x:c>
      <x:c r="AL36" s="313" t="str">
        <x:f>IF(AND(AL$7&gt;=$E36,AL$7&lt;=$F36),1,"")</x:f>
      </x:c>
      <x:c r="AM36" s="310" t="str">
        <x:f>IF(AND(AM$7&gt;=$E36,AM$7&lt;=$F36),1,"")</x:f>
      </x:c>
      <x:c r="AN36" s="310" t="str">
        <x:f>IF(AND(AN$7&gt;=$E36,AN$7&lt;=$F36),1,"")</x:f>
      </x:c>
      <x:c r="AO36" s="310" t="str">
        <x:f>IF(AND(AO$7&gt;=$E36,AO$7&lt;=$F36),1,"")</x:f>
      </x:c>
      <x:c r="AP36" s="310" t="str">
        <x:f>IF(AND(AP$7&gt;=$E36,AP$7&lt;=$F36),1,"")</x:f>
      </x:c>
      <x:c r="AQ36" s="310" t="str">
        <x:f>IF(AND(AQ$7&gt;=$E36,AQ$7&lt;=$F36),1,"")</x:f>
      </x:c>
      <x:c r="AR36" s="313" t="str">
        <x:f>IF(AND(AR$7&gt;=$E36,AR$7&lt;=$F36),1,"")</x:f>
      </x:c>
      <x:c r="AS36" s="313" t="str">
        <x:f>IF(AND(AS$7&gt;=$E36,AS$7&lt;=$F36),1,"")</x:f>
      </x:c>
      <x:c r="AT36" s="313" t="str">
        <x:f>IF(AND(AT$7&gt;=$E36,AT$7&lt;=$F36),1,"")</x:f>
      </x:c>
      <x:c r="AU36" s="313" t="str">
        <x:f>IF(AND(AU$7&gt;=$E36,AU$7&lt;=$F36),1,"")</x:f>
      </x:c>
      <x:c r="AV36" s="313" t="str">
        <x:f>IF(AND(AV$7&gt;=$E36,AV$7&lt;=$F36),1,"")</x:f>
      </x:c>
      <x:c r="AW36" s="312" t="str">
        <x:f>IF(AND(AW$7&gt;=$E36,AW$7&lt;=$F36),1,"")</x:f>
      </x:c>
      <x:c r="AX36" s="310" t="str">
        <x:f>IF(AND(AX$7&gt;=$E36,AX$7&lt;=$F36),1,"")</x:f>
      </x:c>
      <x:c r="AY36" s="310" t="str">
        <x:f>IF(AND(AY$7&gt;=$E36,AY$7&lt;=$F36),1,"")</x:f>
      </x:c>
      <x:c r="AZ36" s="310" t="str">
        <x:f>IF(AND(AZ$7&gt;=$E36,AZ$7&lt;=$F36),1,"")</x:f>
      </x:c>
      <x:c r="BA36" s="310" t="str">
        <x:f>IF(AND(BA$7&gt;=$E36,BA$7&lt;=$F36),1,"")</x:f>
      </x:c>
      <x:c r="BB36" s="314" t="str">
        <x:f>IF(AND(BB$7&gt;=$E36,BB$7&lt;=$F36),1,"")</x:f>
      </x:c>
      <x:c r="BC36" s="314" t="str">
        <x:f>IF(AND(BC$7&gt;=$E36,BC$7&lt;=$F36),1,"")</x:f>
      </x:c>
      <x:c r="BD36" s="314" t="str">
        <x:f>IF(AND(BD$7&gt;=$E36,BD$7&lt;=$F36),1,"")</x:f>
      </x:c>
      <x:c r="BE36" s="314" t="str">
        <x:f>IF(AND(BE$7&gt;=$E36,BE$7&lt;=$F36),1,"")</x:f>
      </x:c>
      <x:c r="BF36" s="314" t="str">
        <x:f>IF(AND(BF$7&gt;=$E36,BF$7&lt;=$F36),1,"")</x:f>
      </x:c>
      <x:c r="BG36" s="310" t="str">
        <x:f>IF(AND(BG$7&gt;=$E36,BG$7&lt;=$F36),1,"")</x:f>
      </x:c>
      <x:c r="BH36" s="310" t="str">
        <x:f>IF(AND(BH$7&gt;=$E36,BH$7&lt;=$F36),1,"")</x:f>
      </x:c>
      <x:c r="BI36" s="310" t="str">
        <x:f>IF(AND(BI$7&gt;=$E36,BI$7&lt;=$F36),1,"")</x:f>
      </x:c>
      <x:c r="BJ36" s="310" t="str">
        <x:f>IF(AND(BJ$7&gt;=$E36,BJ$7&lt;=$F36),1,"")</x:f>
      </x:c>
      <x:c r="BK36" s="310" t="str">
        <x:f>IF(AND(BK$7&gt;=$E36,BK$7&lt;=$F36),1,"")</x:f>
      </x:c>
      <x:c r="BL36" s="314" t="str">
        <x:f>IF(AND(BL$7&gt;=$E36,BL$7&lt;=$F36),1,"")</x:f>
      </x:c>
      <x:c r="BM36" s="314" t="str">
        <x:f>IF(AND(BM$7&gt;=$E36,BM$7&lt;=$F36),1,"")</x:f>
      </x:c>
      <x:c r="BN36" s="314" t="str">
        <x:f>IF(AND(BN$7&gt;=$E36,BN$7&lt;=$F36),1,"")</x:f>
      </x:c>
      <x:c r="BO36" s="314" t="str">
        <x:f>IF(AND(BO$7&gt;=$E36,BO$7&lt;=$F36),1,"")</x:f>
      </x:c>
      <x:c r="BP36" s="314" t="str">
        <x:f>IF(AND(BP$7&gt;=$E36,BP$7&lt;=$F36),1,"")</x:f>
      </x:c>
      <x:c r="BQ36" s="312" t="str">
        <x:f>IF(AND(BQ$7&gt;=$E36,BQ$7&lt;=$F36),1,"")</x:f>
      </x:c>
      <x:c r="BR36" s="310" t="str">
        <x:f>IF(AND(BR$7&gt;=$E36,BR$7&lt;=$F36),1,"")</x:f>
      </x:c>
      <x:c r="BS36" s="310" t="str">
        <x:f>IF(AND(BS$7&gt;=$E36,BS$7&lt;=$F36),1,"")</x:f>
      </x:c>
      <x:c r="BT36" s="310" t="str">
        <x:f>IF(AND(BT$7&gt;=$E36,BT$7&lt;=$F36),1,"")</x:f>
      </x:c>
      <x:c r="BU36" s="310" t="str">
        <x:f>IF(AND(BU$7&gt;=$E36,BU$7&lt;=$F36),1,"")</x:f>
      </x:c>
      <x:c r="BV36" s="315" t="str">
        <x:f>IF(AND(BV$7&gt;=$E36,BV$7&lt;=$F36),1,"")</x:f>
      </x:c>
      <x:c r="BW36" s="315" t="str">
        <x:f>IF(AND(BW$7&gt;=$E36,BW$7&lt;=$F36),1,"")</x:f>
      </x:c>
      <x:c r="BX36" s="315" t="str">
        <x:f>IF(AND(BX$7&gt;=$E36,BX$7&lt;=$F36),1,"")</x:f>
      </x:c>
      <x:c r="BY36" s="315" t="str">
        <x:f>IF(AND(BY$7&gt;=$E36,BY$7&lt;=$F36),1,"")</x:f>
      </x:c>
      <x:c r="BZ36" s="315" t="str">
        <x:f>IF(AND(BZ$7&gt;=$E36,BZ$7&lt;=$F36),1,"")</x:f>
      </x:c>
      <x:c r="CA36" s="310" t="str">
        <x:f>IF(AND(CA$7&gt;=$E36,CA$7&lt;=$F36),1,"")</x:f>
      </x:c>
      <x:c r="CB36" s="310" t="str">
        <x:f>IF(AND(CB$7&gt;=$E36,CB$7&lt;=$F36),1,"")</x:f>
      </x:c>
      <x:c r="CC36" s="310" t="str">
        <x:f>IF(AND(CC$7&gt;=$E36,CC$7&lt;=$F36),1,"")</x:f>
      </x:c>
      <x:c r="CD36" s="310" t="str">
        <x:f>IF(AND(CD$7&gt;=$E36,CD$7&lt;=$F36),1,"")</x:f>
      </x:c>
      <x:c r="CE36" s="310" t="str">
        <x:f>IF(AND(CE$7&gt;=$E36,CE$7&lt;=$F36),1,"")</x:f>
      </x:c>
      <x:c r="CF36" s="315" t="n">
        <x:f>IF(AND(CF$7&gt;=$E36,CF$7&lt;=$F36),1,"")</x:f>
        <x:v>1</x:v>
      </x:c>
      <x:c r="CG36" s="315" t="n">
        <x:f>IF(AND(CG$7&gt;=$E36,CG$7&lt;=$F36),1,"")</x:f>
        <x:v>1</x:v>
      </x:c>
      <x:c r="CH36" s="315" t="n">
        <x:f>IF(AND(CH$7&gt;=$E36,CH$7&lt;=$F36),1,"")</x:f>
        <x:v>1</x:v>
      </x:c>
      <x:c r="CI36" s="315" t="n">
        <x:f>IF(AND(CI$7&gt;=$E36,CI$7&lt;=$F36),1,"")</x:f>
        <x:v>1</x:v>
      </x:c>
      <x:c r="CJ36" s="315" t="n">
        <x:f>IF(AND(CJ$7&gt;=$E36,CJ$7&lt;=$F36),1,"")</x:f>
        <x:v>1</x:v>
      </x:c>
      <x:c r="CK36" s="312" t="str">
        <x:f>IF(AND(CK$7&gt;=$E36,CK$7&lt;=$F36),1,"")</x:f>
      </x:c>
      <x:c r="CL36" s="310" t="str">
        <x:f>IF(AND(CL$7&gt;=$E36,CL$7&lt;=$F36),1,"")</x:f>
      </x:c>
      <x:c r="CM36" s="310" t="str">
        <x:f>IF(AND(CM$7&gt;=$E36,CM$7&lt;=$F36),1,"")</x:f>
      </x:c>
      <x:c r="CN36" s="310" t="str">
        <x:f>IF(AND(CN$7&gt;=$E36,CN$7&lt;=$F36),1,"")</x:f>
      </x:c>
      <x:c r="CO36" s="310" t="str">
        <x:f>IF(AND(CO$7&gt;=$E36,CO$7&lt;=$F36),1,"")</x:f>
      </x:c>
      <x:c r="CP36" s="20"/>
    </x:row>
    <x:row r="37" ht="20" customHeight="1">
      <x:c r="B37" s="41" t="str">
        <x:v>5.2</x:v>
      </x:c>
      <x:c r="C37" s="341" t="str">
        <x:v>Preparar demostración del MVP</x:v>
      </x:c>
      <x:c r="D37" s="347" t="str">
        <x:v>Equipo CAPSTONE</x:v>
      </x:c>
      <x:c r="E37" s="228" t="n">
        <x:v>46351</x:v>
      </x:c>
      <x:c r="F37" s="229" t="n">
        <x:v>46356</x:v>
      </x:c>
      <x:c r="G37" s="75" t="n">
        <x:f t="shared" si="1">IF(OR(E37="",F37=""),"",NETWORKDAYS(E37,F37))</x:f>
        <x:v>4</x:v>
      </x:c>
      <x:c r="H37" s="243" t="n">
        <x:v>0</x:v>
      </x:c>
      <x:c r="I37" s="309" t="str">
        <x:f>IF(AND(I$7&gt;=$E37,I$7&lt;=$F37),1,"")</x:f>
      </x:c>
      <x:c r="J37" s="310" t="str">
        <x:f>IF(AND(J$7&gt;=$E37,J$7&lt;=$F37),1,"")</x:f>
      </x:c>
      <x:c r="K37" s="310" t="str">
        <x:f>IF(AND(K$7&gt;=$E37,K$7&lt;=$F37),1,"")</x:f>
      </x:c>
      <x:c r="L37" s="310" t="str">
        <x:f>IF(AND(L$7&gt;=$E37,L$7&lt;=$F37),1,"")</x:f>
      </x:c>
      <x:c r="M37" s="310" t="str">
        <x:f>IF(AND(M$7&gt;=$E37,M$7&lt;=$F37),1,"")</x:f>
      </x:c>
      <x:c r="N37" s="311" t="str">
        <x:f>IF(AND(N$7&gt;=$E37,N$7&lt;=$F37),1,"")</x:f>
      </x:c>
      <x:c r="O37" s="311" t="str">
        <x:f>IF(AND(O$7&gt;=$E37,O$7&lt;=$F37),1,"")</x:f>
      </x:c>
      <x:c r="P37" s="311" t="str">
        <x:f>IF(AND(P$7&gt;=$E37,P$7&lt;=$F37),1,"")</x:f>
      </x:c>
      <x:c r="Q37" s="311" t="str">
        <x:f>IF(AND(Q$7&gt;=$E37,Q$7&lt;=$F37),1,"")</x:f>
      </x:c>
      <x:c r="R37" s="311" t="str">
        <x:f>IF(AND(R$7&gt;=$E37,R$7&lt;=$F37),1,"")</x:f>
      </x:c>
      <x:c r="S37" s="310" t="str">
        <x:f>IF(AND(S$7&gt;=$E37,S$7&lt;=$F37),1,"")</x:f>
      </x:c>
      <x:c r="T37" s="310" t="str">
        <x:f>IF(AND(T$7&gt;=$E37,T$7&lt;=$F37),1,"")</x:f>
      </x:c>
      <x:c r="U37" s="310" t="str">
        <x:f>IF(AND(U$7&gt;=$E37,U$7&lt;=$F37),1,"")</x:f>
      </x:c>
      <x:c r="V37" s="310" t="str">
        <x:f>IF(AND(V$7&gt;=$E37,V$7&lt;=$F37),1,"")</x:f>
      </x:c>
      <x:c r="W37" s="310" t="str">
        <x:f>IF(AND(W$7&gt;=$E37,W$7&lt;=$F37),1,"")</x:f>
      </x:c>
      <x:c r="X37" s="311" t="str">
        <x:f>IF(AND(X$7&gt;=$E37,X$7&lt;=$F37),1,"")</x:f>
      </x:c>
      <x:c r="Y37" s="311" t="str">
        <x:f>IF(AND(Y$7&gt;=$E37,Y$7&lt;=$F37),1,"")</x:f>
      </x:c>
      <x:c r="Z37" s="311" t="str">
        <x:f>IF(AND(Z$7&gt;=$E37,Z$7&lt;=$F37),1,"")</x:f>
      </x:c>
      <x:c r="AA37" s="311" t="str">
        <x:f>IF(AND(AA$7&gt;=$E37,AA$7&lt;=$F37),1,"")</x:f>
      </x:c>
      <x:c r="AB37" s="311" t="str">
        <x:f>IF(AND(AB$7&gt;=$E37,AB$7&lt;=$F37),1,"")</x:f>
      </x:c>
      <x:c r="AC37" s="312" t="str">
        <x:f>IF(AND(AC$7&gt;=$E37,AC$7&lt;=$F37),1,"")</x:f>
      </x:c>
      <x:c r="AD37" s="310" t="str">
        <x:f>IF(AND(AD$7&gt;=$E37,AD$7&lt;=$F37),1,"")</x:f>
      </x:c>
      <x:c r="AE37" s="310" t="str">
        <x:f>IF(AND(AE$7&gt;=$E37,AE$7&lt;=$F37),1,"")</x:f>
      </x:c>
      <x:c r="AF37" s="310" t="str">
        <x:f>IF(AND(AF$7&gt;=$E37,AF$7&lt;=$F37),1,"")</x:f>
      </x:c>
      <x:c r="AG37" s="310" t="str">
        <x:f>IF(AND(AG$7&gt;=$E37,AG$7&lt;=$F37),1,"")</x:f>
      </x:c>
      <x:c r="AH37" s="313" t="str">
        <x:f>IF(AND(AH$7&gt;=$E37,AH$7&lt;=$F37),1,"")</x:f>
      </x:c>
      <x:c r="AI37" s="313" t="str">
        <x:f>IF(AND(AI$7&gt;=$E37,AI$7&lt;=$F37),1,"")</x:f>
      </x:c>
      <x:c r="AJ37" s="313" t="str">
        <x:f>IF(AND(AJ$7&gt;=$E37,AJ$7&lt;=$F37),1,"")</x:f>
      </x:c>
      <x:c r="AK37" s="313" t="str">
        <x:f>IF(AND(AK$7&gt;=$E37,AK$7&lt;=$F37),1,"")</x:f>
      </x:c>
      <x:c r="AL37" s="313" t="str">
        <x:f>IF(AND(AL$7&gt;=$E37,AL$7&lt;=$F37),1,"")</x:f>
      </x:c>
      <x:c r="AM37" s="310" t="str">
        <x:f>IF(AND(AM$7&gt;=$E37,AM$7&lt;=$F37),1,"")</x:f>
      </x:c>
      <x:c r="AN37" s="310" t="str">
        <x:f>IF(AND(AN$7&gt;=$E37,AN$7&lt;=$F37),1,"")</x:f>
      </x:c>
      <x:c r="AO37" s="310" t="str">
        <x:f>IF(AND(AO$7&gt;=$E37,AO$7&lt;=$F37),1,"")</x:f>
      </x:c>
      <x:c r="AP37" s="310" t="str">
        <x:f>IF(AND(AP$7&gt;=$E37,AP$7&lt;=$F37),1,"")</x:f>
      </x:c>
      <x:c r="AQ37" s="310" t="str">
        <x:f>IF(AND(AQ$7&gt;=$E37,AQ$7&lt;=$F37),1,"")</x:f>
      </x:c>
      <x:c r="AR37" s="313" t="str">
        <x:f>IF(AND(AR$7&gt;=$E37,AR$7&lt;=$F37),1,"")</x:f>
      </x:c>
      <x:c r="AS37" s="313" t="str">
        <x:f>IF(AND(AS$7&gt;=$E37,AS$7&lt;=$F37),1,"")</x:f>
      </x:c>
      <x:c r="AT37" s="313" t="str">
        <x:f>IF(AND(AT$7&gt;=$E37,AT$7&lt;=$F37),1,"")</x:f>
      </x:c>
      <x:c r="AU37" s="313" t="str">
        <x:f>IF(AND(AU$7&gt;=$E37,AU$7&lt;=$F37),1,"")</x:f>
      </x:c>
      <x:c r="AV37" s="313" t="str">
        <x:f>IF(AND(AV$7&gt;=$E37,AV$7&lt;=$F37),1,"")</x:f>
      </x:c>
      <x:c r="AW37" s="312" t="str">
        <x:f>IF(AND(AW$7&gt;=$E37,AW$7&lt;=$F37),1,"")</x:f>
      </x:c>
      <x:c r="AX37" s="310" t="str">
        <x:f>IF(AND(AX$7&gt;=$E37,AX$7&lt;=$F37),1,"")</x:f>
      </x:c>
      <x:c r="AY37" s="310" t="str">
        <x:f>IF(AND(AY$7&gt;=$E37,AY$7&lt;=$F37),1,"")</x:f>
      </x:c>
      <x:c r="AZ37" s="310" t="str">
        <x:f>IF(AND(AZ$7&gt;=$E37,AZ$7&lt;=$F37),1,"")</x:f>
      </x:c>
      <x:c r="BA37" s="310" t="str">
        <x:f>IF(AND(BA$7&gt;=$E37,BA$7&lt;=$F37),1,"")</x:f>
      </x:c>
      <x:c r="BB37" s="314" t="str">
        <x:f>IF(AND(BB$7&gt;=$E37,BB$7&lt;=$F37),1,"")</x:f>
      </x:c>
      <x:c r="BC37" s="314" t="str">
        <x:f>IF(AND(BC$7&gt;=$E37,BC$7&lt;=$F37),1,"")</x:f>
      </x:c>
      <x:c r="BD37" s="314" t="str">
        <x:f>IF(AND(BD$7&gt;=$E37,BD$7&lt;=$F37),1,"")</x:f>
      </x:c>
      <x:c r="BE37" s="314" t="str">
        <x:f>IF(AND(BE$7&gt;=$E37,BE$7&lt;=$F37),1,"")</x:f>
      </x:c>
      <x:c r="BF37" s="314" t="str">
        <x:f>IF(AND(BF$7&gt;=$E37,BF$7&lt;=$F37),1,"")</x:f>
      </x:c>
      <x:c r="BG37" s="310" t="str">
        <x:f>IF(AND(BG$7&gt;=$E37,BG$7&lt;=$F37),1,"")</x:f>
      </x:c>
      <x:c r="BH37" s="310" t="str">
        <x:f>IF(AND(BH$7&gt;=$E37,BH$7&lt;=$F37),1,"")</x:f>
      </x:c>
      <x:c r="BI37" s="310" t="str">
        <x:f>IF(AND(BI$7&gt;=$E37,BI$7&lt;=$F37),1,"")</x:f>
      </x:c>
      <x:c r="BJ37" s="310" t="str">
        <x:f>IF(AND(BJ$7&gt;=$E37,BJ$7&lt;=$F37),1,"")</x:f>
      </x:c>
      <x:c r="BK37" s="310" t="str">
        <x:f>IF(AND(BK$7&gt;=$E37,BK$7&lt;=$F37),1,"")</x:f>
      </x:c>
      <x:c r="BL37" s="314" t="str">
        <x:f>IF(AND(BL$7&gt;=$E37,BL$7&lt;=$F37),1,"")</x:f>
      </x:c>
      <x:c r="BM37" s="314" t="str">
        <x:f>IF(AND(BM$7&gt;=$E37,BM$7&lt;=$F37),1,"")</x:f>
      </x:c>
      <x:c r="BN37" s="314" t="str">
        <x:f>IF(AND(BN$7&gt;=$E37,BN$7&lt;=$F37),1,"")</x:f>
      </x:c>
      <x:c r="BO37" s="314" t="str">
        <x:f>IF(AND(BO$7&gt;=$E37,BO$7&lt;=$F37),1,"")</x:f>
      </x:c>
      <x:c r="BP37" s="314" t="str">
        <x:f>IF(AND(BP$7&gt;=$E37,BP$7&lt;=$F37),1,"")</x:f>
      </x:c>
      <x:c r="BQ37" s="312" t="str">
        <x:f>IF(AND(BQ$7&gt;=$E37,BQ$7&lt;=$F37),1,"")</x:f>
      </x:c>
      <x:c r="BR37" s="310" t="str">
        <x:f>IF(AND(BR$7&gt;=$E37,BR$7&lt;=$F37),1,"")</x:f>
      </x:c>
      <x:c r="BS37" s="310" t="str">
        <x:f>IF(AND(BS$7&gt;=$E37,BS$7&lt;=$F37),1,"")</x:f>
      </x:c>
      <x:c r="BT37" s="310" t="str">
        <x:f>IF(AND(BT$7&gt;=$E37,BT$7&lt;=$F37),1,"")</x:f>
      </x:c>
      <x:c r="BU37" s="310" t="str">
        <x:f>IF(AND(BU$7&gt;=$E37,BU$7&lt;=$F37),1,"")</x:f>
      </x:c>
      <x:c r="BV37" s="315" t="str">
        <x:f>IF(AND(BV$7&gt;=$E37,BV$7&lt;=$F37),1,"")</x:f>
      </x:c>
      <x:c r="BW37" s="315" t="str">
        <x:f>IF(AND(BW$7&gt;=$E37,BW$7&lt;=$F37),1,"")</x:f>
      </x:c>
      <x:c r="BX37" s="315" t="str">
        <x:f>IF(AND(BX$7&gt;=$E37,BX$7&lt;=$F37),1,"")</x:f>
      </x:c>
      <x:c r="BY37" s="315" t="str">
        <x:f>IF(AND(BY$7&gt;=$E37,BY$7&lt;=$F37),1,"")</x:f>
      </x:c>
      <x:c r="BZ37" s="315" t="str">
        <x:f>IF(AND(BZ$7&gt;=$E37,BZ$7&lt;=$F37),1,"")</x:f>
      </x:c>
      <x:c r="CA37" s="310" t="str">
        <x:f>IF(AND(CA$7&gt;=$E37,CA$7&lt;=$F37),1,"")</x:f>
      </x:c>
      <x:c r="CB37" s="310" t="str">
        <x:f>IF(AND(CB$7&gt;=$E37,CB$7&lt;=$F37),1,"")</x:f>
      </x:c>
      <x:c r="CC37" s="310" t="str">
        <x:f>IF(AND(CC$7&gt;=$E37,CC$7&lt;=$F37),1,"")</x:f>
      </x:c>
      <x:c r="CD37" s="310" t="str">
        <x:f>IF(AND(CD$7&gt;=$E37,CD$7&lt;=$F37),1,"")</x:f>
      </x:c>
      <x:c r="CE37" s="310" t="str">
        <x:f>IF(AND(CE$7&gt;=$E37,CE$7&lt;=$F37),1,"")</x:f>
      </x:c>
      <x:c r="CF37" s="315" t="str">
        <x:f>IF(AND(CF$7&gt;=$E37,CF$7&lt;=$F37),1,"")</x:f>
      </x:c>
      <x:c r="CG37" s="315" t="str">
        <x:f>IF(AND(CG$7&gt;=$E37,CG$7&lt;=$F37),1,"")</x:f>
      </x:c>
      <x:c r="CH37" s="315" t="n">
        <x:f>IF(AND(CH$7&gt;=$E37,CH$7&lt;=$F37),1,"")</x:f>
        <x:v>1</x:v>
      </x:c>
      <x:c r="CI37" s="315" t="n">
        <x:f>IF(AND(CI$7&gt;=$E37,CI$7&lt;=$F37),1,"")</x:f>
        <x:v>1</x:v>
      </x:c>
      <x:c r="CJ37" s="315" t="n">
        <x:f>IF(AND(CJ$7&gt;=$E37,CJ$7&lt;=$F37),1,"")</x:f>
        <x:v>1</x:v>
      </x:c>
      <x:c r="CK37" s="312" t="n">
        <x:f>IF(AND(CK$7&gt;=$E37,CK$7&lt;=$F37),1,"")</x:f>
        <x:v>1</x:v>
      </x:c>
      <x:c r="CL37" s="310" t="str">
        <x:f>IF(AND(CL$7&gt;=$E37,CL$7&lt;=$F37),1,"")</x:f>
      </x:c>
      <x:c r="CM37" s="310" t="str">
        <x:f>IF(AND(CM$7&gt;=$E37,CM$7&lt;=$F37),1,"")</x:f>
      </x:c>
      <x:c r="CN37" s="310" t="str">
        <x:f>IF(AND(CN$7&gt;=$E37,CN$7&lt;=$F37),1,"")</x:f>
      </x:c>
      <x:c r="CO37" s="310" t="str">
        <x:f>IF(AND(CO$7&gt;=$E37,CO$7&lt;=$F37),1,"")</x:f>
      </x:c>
      <x:c r="CP37" s="20"/>
    </x:row>
    <x:row r="38" ht="20" customHeight="1">
      <x:c r="B38" s="41" t="str">
        <x:v>5.3</x:v>
      </x:c>
      <x:c r="C38" s="341" t="str">
        <x:v>Preparar presentación y defensa CAPSTONE</x:v>
      </x:c>
      <x:c r="D38" s="347" t="str">
        <x:v>Equipo CAPSTONE</x:v>
      </x:c>
      <x:c r="E38" s="228" t="n">
        <x:v>46356</x:v>
      </x:c>
      <x:c r="F38" s="229" t="n">
        <x:v>46359</x:v>
      </x:c>
      <x:c r="G38" s="75" t="n">
        <x:f t="shared" si="1">IF(OR(E38="",F38=""),"",NETWORKDAYS(E38,F38))</x:f>
        <x:v>4</x:v>
      </x:c>
      <x:c r="H38" s="243" t="n">
        <x:v>0</x:v>
      </x:c>
      <x:c r="I38" s="309" t="str">
        <x:f>IF(AND(I$7&gt;=$E38,I$7&lt;=$F38),1,"")</x:f>
      </x:c>
      <x:c r="J38" s="310" t="str">
        <x:f>IF(AND(J$7&gt;=$E38,J$7&lt;=$F38),1,"")</x:f>
      </x:c>
      <x:c r="K38" s="310" t="str">
        <x:f>IF(AND(K$7&gt;=$E38,K$7&lt;=$F38),1,"")</x:f>
      </x:c>
      <x:c r="L38" s="310" t="str">
        <x:f>IF(AND(L$7&gt;=$E38,L$7&lt;=$F38),1,"")</x:f>
      </x:c>
      <x:c r="M38" s="310" t="str">
        <x:f>IF(AND(M$7&gt;=$E38,M$7&lt;=$F38),1,"")</x:f>
      </x:c>
      <x:c r="N38" s="311" t="str">
        <x:f>IF(AND(N$7&gt;=$E38,N$7&lt;=$F38),1,"")</x:f>
      </x:c>
      <x:c r="O38" s="311" t="str">
        <x:f>IF(AND(O$7&gt;=$E38,O$7&lt;=$F38),1,"")</x:f>
      </x:c>
      <x:c r="P38" s="311" t="str">
        <x:f>IF(AND(P$7&gt;=$E38,P$7&lt;=$F38),1,"")</x:f>
      </x:c>
      <x:c r="Q38" s="311" t="str">
        <x:f>IF(AND(Q$7&gt;=$E38,Q$7&lt;=$F38),1,"")</x:f>
      </x:c>
      <x:c r="R38" s="311" t="str">
        <x:f>IF(AND(R$7&gt;=$E38,R$7&lt;=$F38),1,"")</x:f>
      </x:c>
      <x:c r="S38" s="310" t="str">
        <x:f>IF(AND(S$7&gt;=$E38,S$7&lt;=$F38),1,"")</x:f>
      </x:c>
      <x:c r="T38" s="310" t="str">
        <x:f>IF(AND(T$7&gt;=$E38,T$7&lt;=$F38),1,"")</x:f>
      </x:c>
      <x:c r="U38" s="310" t="str">
        <x:f>IF(AND(U$7&gt;=$E38,U$7&lt;=$F38),1,"")</x:f>
      </x:c>
      <x:c r="V38" s="310" t="str">
        <x:f>IF(AND(V$7&gt;=$E38,V$7&lt;=$F38),1,"")</x:f>
      </x:c>
      <x:c r="W38" s="310" t="str">
        <x:f>IF(AND(W$7&gt;=$E38,W$7&lt;=$F38),1,"")</x:f>
      </x:c>
      <x:c r="X38" s="311" t="str">
        <x:f>IF(AND(X$7&gt;=$E38,X$7&lt;=$F38),1,"")</x:f>
      </x:c>
      <x:c r="Y38" s="311" t="str">
        <x:f>IF(AND(Y$7&gt;=$E38,Y$7&lt;=$F38),1,"")</x:f>
      </x:c>
      <x:c r="Z38" s="311" t="str">
        <x:f>IF(AND(Z$7&gt;=$E38,Z$7&lt;=$F38),1,"")</x:f>
      </x:c>
      <x:c r="AA38" s="311" t="str">
        <x:f>IF(AND(AA$7&gt;=$E38,AA$7&lt;=$F38),1,"")</x:f>
      </x:c>
      <x:c r="AB38" s="311" t="str">
        <x:f>IF(AND(AB$7&gt;=$E38,AB$7&lt;=$F38),1,"")</x:f>
      </x:c>
      <x:c r="AC38" s="312" t="str">
        <x:f>IF(AND(AC$7&gt;=$E38,AC$7&lt;=$F38),1,"")</x:f>
      </x:c>
      <x:c r="AD38" s="310" t="str">
        <x:f>IF(AND(AD$7&gt;=$E38,AD$7&lt;=$F38),1,"")</x:f>
      </x:c>
      <x:c r="AE38" s="310" t="str">
        <x:f>IF(AND(AE$7&gt;=$E38,AE$7&lt;=$F38),1,"")</x:f>
      </x:c>
      <x:c r="AF38" s="310" t="str">
        <x:f>IF(AND(AF$7&gt;=$E38,AF$7&lt;=$F38),1,"")</x:f>
      </x:c>
      <x:c r="AG38" s="310" t="str">
        <x:f>IF(AND(AG$7&gt;=$E38,AG$7&lt;=$F38),1,"")</x:f>
      </x:c>
      <x:c r="AH38" s="313" t="str">
        <x:f>IF(AND(AH$7&gt;=$E38,AH$7&lt;=$F38),1,"")</x:f>
      </x:c>
      <x:c r="AI38" s="313" t="str">
        <x:f>IF(AND(AI$7&gt;=$E38,AI$7&lt;=$F38),1,"")</x:f>
      </x:c>
      <x:c r="AJ38" s="313" t="str">
        <x:f>IF(AND(AJ$7&gt;=$E38,AJ$7&lt;=$F38),1,"")</x:f>
      </x:c>
      <x:c r="AK38" s="313" t="str">
        <x:f>IF(AND(AK$7&gt;=$E38,AK$7&lt;=$F38),1,"")</x:f>
      </x:c>
      <x:c r="AL38" s="313" t="str">
        <x:f>IF(AND(AL$7&gt;=$E38,AL$7&lt;=$F38),1,"")</x:f>
      </x:c>
      <x:c r="AM38" s="310" t="str">
        <x:f>IF(AND(AM$7&gt;=$E38,AM$7&lt;=$F38),1,"")</x:f>
      </x:c>
      <x:c r="AN38" s="310" t="str">
        <x:f>IF(AND(AN$7&gt;=$E38,AN$7&lt;=$F38),1,"")</x:f>
      </x:c>
      <x:c r="AO38" s="310" t="str">
        <x:f>IF(AND(AO$7&gt;=$E38,AO$7&lt;=$F38),1,"")</x:f>
      </x:c>
      <x:c r="AP38" s="310" t="str">
        <x:f>IF(AND(AP$7&gt;=$E38,AP$7&lt;=$F38),1,"")</x:f>
      </x:c>
      <x:c r="AQ38" s="310" t="str">
        <x:f>IF(AND(AQ$7&gt;=$E38,AQ$7&lt;=$F38),1,"")</x:f>
      </x:c>
      <x:c r="AR38" s="313" t="str">
        <x:f>IF(AND(AR$7&gt;=$E38,AR$7&lt;=$F38),1,"")</x:f>
      </x:c>
      <x:c r="AS38" s="313" t="str">
        <x:f>IF(AND(AS$7&gt;=$E38,AS$7&lt;=$F38),1,"")</x:f>
      </x:c>
      <x:c r="AT38" s="313" t="str">
        <x:f>IF(AND(AT$7&gt;=$E38,AT$7&lt;=$F38),1,"")</x:f>
      </x:c>
      <x:c r="AU38" s="313" t="str">
        <x:f>IF(AND(AU$7&gt;=$E38,AU$7&lt;=$F38),1,"")</x:f>
      </x:c>
      <x:c r="AV38" s="313" t="str">
        <x:f>IF(AND(AV$7&gt;=$E38,AV$7&lt;=$F38),1,"")</x:f>
      </x:c>
      <x:c r="AW38" s="312" t="str">
        <x:f>IF(AND(AW$7&gt;=$E38,AW$7&lt;=$F38),1,"")</x:f>
      </x:c>
      <x:c r="AX38" s="310" t="str">
        <x:f>IF(AND(AX$7&gt;=$E38,AX$7&lt;=$F38),1,"")</x:f>
      </x:c>
      <x:c r="AY38" s="310" t="str">
        <x:f>IF(AND(AY$7&gt;=$E38,AY$7&lt;=$F38),1,"")</x:f>
      </x:c>
      <x:c r="AZ38" s="310" t="str">
        <x:f>IF(AND(AZ$7&gt;=$E38,AZ$7&lt;=$F38),1,"")</x:f>
      </x:c>
      <x:c r="BA38" s="310" t="str">
        <x:f>IF(AND(BA$7&gt;=$E38,BA$7&lt;=$F38),1,"")</x:f>
      </x:c>
      <x:c r="BB38" s="314" t="str">
        <x:f>IF(AND(BB$7&gt;=$E38,BB$7&lt;=$F38),1,"")</x:f>
      </x:c>
      <x:c r="BC38" s="314" t="str">
        <x:f>IF(AND(BC$7&gt;=$E38,BC$7&lt;=$F38),1,"")</x:f>
      </x:c>
      <x:c r="BD38" s="314" t="str">
        <x:f>IF(AND(BD$7&gt;=$E38,BD$7&lt;=$F38),1,"")</x:f>
      </x:c>
      <x:c r="BE38" s="314" t="str">
        <x:f>IF(AND(BE$7&gt;=$E38,BE$7&lt;=$F38),1,"")</x:f>
      </x:c>
      <x:c r="BF38" s="314" t="str">
        <x:f>IF(AND(BF$7&gt;=$E38,BF$7&lt;=$F38),1,"")</x:f>
      </x:c>
      <x:c r="BG38" s="310" t="str">
        <x:f>IF(AND(BG$7&gt;=$E38,BG$7&lt;=$F38),1,"")</x:f>
      </x:c>
      <x:c r="BH38" s="310" t="str">
        <x:f>IF(AND(BH$7&gt;=$E38,BH$7&lt;=$F38),1,"")</x:f>
      </x:c>
      <x:c r="BI38" s="310" t="str">
        <x:f>IF(AND(BI$7&gt;=$E38,BI$7&lt;=$F38),1,"")</x:f>
      </x:c>
      <x:c r="BJ38" s="310" t="str">
        <x:f>IF(AND(BJ$7&gt;=$E38,BJ$7&lt;=$F38),1,"")</x:f>
      </x:c>
      <x:c r="BK38" s="310" t="str">
        <x:f>IF(AND(BK$7&gt;=$E38,BK$7&lt;=$F38),1,"")</x:f>
      </x:c>
      <x:c r="BL38" s="314" t="str">
        <x:f>IF(AND(BL$7&gt;=$E38,BL$7&lt;=$F38),1,"")</x:f>
      </x:c>
      <x:c r="BM38" s="314" t="str">
        <x:f>IF(AND(BM$7&gt;=$E38,BM$7&lt;=$F38),1,"")</x:f>
      </x:c>
      <x:c r="BN38" s="314" t="str">
        <x:f>IF(AND(BN$7&gt;=$E38,BN$7&lt;=$F38),1,"")</x:f>
      </x:c>
      <x:c r="BO38" s="314" t="str">
        <x:f>IF(AND(BO$7&gt;=$E38,BO$7&lt;=$F38),1,"")</x:f>
      </x:c>
      <x:c r="BP38" s="314" t="str">
        <x:f>IF(AND(BP$7&gt;=$E38,BP$7&lt;=$F38),1,"")</x:f>
      </x:c>
      <x:c r="BQ38" s="312" t="str">
        <x:f>IF(AND(BQ$7&gt;=$E38,BQ$7&lt;=$F38),1,"")</x:f>
      </x:c>
      <x:c r="BR38" s="310" t="str">
        <x:f>IF(AND(BR$7&gt;=$E38,BR$7&lt;=$F38),1,"")</x:f>
      </x:c>
      <x:c r="BS38" s="310" t="str">
        <x:f>IF(AND(BS$7&gt;=$E38,BS$7&lt;=$F38),1,"")</x:f>
      </x:c>
      <x:c r="BT38" s="310" t="str">
        <x:f>IF(AND(BT$7&gt;=$E38,BT$7&lt;=$F38),1,"")</x:f>
      </x:c>
      <x:c r="BU38" s="310" t="str">
        <x:f>IF(AND(BU$7&gt;=$E38,BU$7&lt;=$F38),1,"")</x:f>
      </x:c>
      <x:c r="BV38" s="315" t="str">
        <x:f>IF(AND(BV$7&gt;=$E38,BV$7&lt;=$F38),1,"")</x:f>
      </x:c>
      <x:c r="BW38" s="315" t="str">
        <x:f>IF(AND(BW$7&gt;=$E38,BW$7&lt;=$F38),1,"")</x:f>
      </x:c>
      <x:c r="BX38" s="315" t="str">
        <x:f>IF(AND(BX$7&gt;=$E38,BX$7&lt;=$F38),1,"")</x:f>
      </x:c>
      <x:c r="BY38" s="315" t="str">
        <x:f>IF(AND(BY$7&gt;=$E38,BY$7&lt;=$F38),1,"")</x:f>
      </x:c>
      <x:c r="BZ38" s="315" t="str">
        <x:f>IF(AND(BZ$7&gt;=$E38,BZ$7&lt;=$F38),1,"")</x:f>
      </x:c>
      <x:c r="CA38" s="310" t="str">
        <x:f>IF(AND(CA$7&gt;=$E38,CA$7&lt;=$F38),1,"")</x:f>
      </x:c>
      <x:c r="CB38" s="310" t="str">
        <x:f>IF(AND(CB$7&gt;=$E38,CB$7&lt;=$F38),1,"")</x:f>
      </x:c>
      <x:c r="CC38" s="310" t="str">
        <x:f>IF(AND(CC$7&gt;=$E38,CC$7&lt;=$F38),1,"")</x:f>
      </x:c>
      <x:c r="CD38" s="310" t="str">
        <x:f>IF(AND(CD$7&gt;=$E38,CD$7&lt;=$F38),1,"")</x:f>
      </x:c>
      <x:c r="CE38" s="310" t="str">
        <x:f>IF(AND(CE$7&gt;=$E38,CE$7&lt;=$F38),1,"")</x:f>
      </x:c>
      <x:c r="CF38" s="315" t="str">
        <x:f>IF(AND(CF$7&gt;=$E38,CF$7&lt;=$F38),1,"")</x:f>
      </x:c>
      <x:c r="CG38" s="315" t="str">
        <x:f>IF(AND(CG$7&gt;=$E38,CG$7&lt;=$F38),1,"")</x:f>
      </x:c>
      <x:c r="CH38" s="315" t="str">
        <x:f>IF(AND(CH$7&gt;=$E38,CH$7&lt;=$F38),1,"")</x:f>
      </x:c>
      <x:c r="CI38" s="315" t="str">
        <x:f>IF(AND(CI$7&gt;=$E38,CI$7&lt;=$F38),1,"")</x:f>
      </x:c>
      <x:c r="CJ38" s="315" t="str">
        <x:f>IF(AND(CJ$7&gt;=$E38,CJ$7&lt;=$F38),1,"")</x:f>
      </x:c>
      <x:c r="CK38" s="312" t="n">
        <x:f>IF(AND(CK$7&gt;=$E38,CK$7&lt;=$F38),1,"")</x:f>
        <x:v>1</x:v>
      </x:c>
      <x:c r="CL38" s="310" t="n">
        <x:f>IF(AND(CL$7&gt;=$E38,CL$7&lt;=$F38),1,"")</x:f>
        <x:v>1</x:v>
      </x:c>
      <x:c r="CM38" s="310" t="n">
        <x:f>IF(AND(CM$7&gt;=$E38,CM$7&lt;=$F38),1,"")</x:f>
        <x:v>1</x:v>
      </x:c>
      <x:c r="CN38" s="310" t="n">
        <x:f>IF(AND(CN$7&gt;=$E38,CN$7&lt;=$F38),1,"")</x:f>
        <x:v>1</x:v>
      </x:c>
      <x:c r="CO38" s="310" t="str">
        <x:f>IF(AND(CO$7&gt;=$E38,CO$7&lt;=$F38),1,"")</x:f>
      </x:c>
      <x:c r="CP38" s="20"/>
    </x:row>
    <x:row r="39" ht="20" customHeight="1">
      <x:c r="B39" s="41" t="str">
        <x:v>5.4</x:v>
      </x:c>
      <x:c r="C39" s="341" t="str">
        <x:v>Entrega final y cierre del proyecto</x:v>
      </x:c>
      <x:c r="D39" s="349" t="str">
        <x:v>Equipo CAPSTONE</x:v>
      </x:c>
      <x:c r="E39" s="232" t="n">
        <x:v>46360</x:v>
      </x:c>
      <x:c r="F39" s="233" t="n">
        <x:v>46360</x:v>
      </x:c>
      <x:c r="G39" s="76" t="n">
        <x:f t="shared" si="1">IF(OR(E39="",F39=""),"",NETWORKDAYS(E39,F39))</x:f>
        <x:v>1</x:v>
      </x:c>
      <x:c r="H39" s="245" t="n">
        <x:v>0</x:v>
      </x:c>
      <x:c r="I39" s="316" t="str">
        <x:f>IF(AND(I$7&gt;=$E39,I$7&lt;=$F39),1,"")</x:f>
      </x:c>
      <x:c r="J39" s="317" t="str">
        <x:f>IF(AND(J$7&gt;=$E39,J$7&lt;=$F39),1,"")</x:f>
      </x:c>
      <x:c r="K39" s="317" t="str">
        <x:f>IF(AND(K$7&gt;=$E39,K$7&lt;=$F39),1,"")</x:f>
      </x:c>
      <x:c r="L39" s="317" t="str">
        <x:f>IF(AND(L$7&gt;=$E39,L$7&lt;=$F39),1,"")</x:f>
      </x:c>
      <x:c r="M39" s="317" t="str">
        <x:f>IF(AND(M$7&gt;=$E39,M$7&lt;=$F39),1,"")</x:f>
      </x:c>
      <x:c r="N39" s="318" t="str">
        <x:f>IF(AND(N$7&gt;=$E39,N$7&lt;=$F39),1,"")</x:f>
      </x:c>
      <x:c r="O39" s="318" t="str">
        <x:f>IF(AND(O$7&gt;=$E39,O$7&lt;=$F39),1,"")</x:f>
      </x:c>
      <x:c r="P39" s="318" t="str">
        <x:f>IF(AND(P$7&gt;=$E39,P$7&lt;=$F39),1,"")</x:f>
      </x:c>
      <x:c r="Q39" s="318" t="str">
        <x:f>IF(AND(Q$7&gt;=$E39,Q$7&lt;=$F39),1,"")</x:f>
      </x:c>
      <x:c r="R39" s="318" t="str">
        <x:f>IF(AND(R$7&gt;=$E39,R$7&lt;=$F39),1,"")</x:f>
      </x:c>
      <x:c r="S39" s="317" t="str">
        <x:f>IF(AND(S$7&gt;=$E39,S$7&lt;=$F39),1,"")</x:f>
      </x:c>
      <x:c r="T39" s="317" t="str">
        <x:f>IF(AND(T$7&gt;=$E39,T$7&lt;=$F39),1,"")</x:f>
      </x:c>
      <x:c r="U39" s="317" t="str">
        <x:f>IF(AND(U$7&gt;=$E39,U$7&lt;=$F39),1,"")</x:f>
      </x:c>
      <x:c r="V39" s="317" t="str">
        <x:f>IF(AND(V$7&gt;=$E39,V$7&lt;=$F39),1,"")</x:f>
      </x:c>
      <x:c r="W39" s="317" t="str">
        <x:f>IF(AND(W$7&gt;=$E39,W$7&lt;=$F39),1,"")</x:f>
      </x:c>
      <x:c r="X39" s="318" t="str">
        <x:f>IF(AND(X$7&gt;=$E39,X$7&lt;=$F39),1,"")</x:f>
      </x:c>
      <x:c r="Y39" s="318" t="str">
        <x:f>IF(AND(Y$7&gt;=$E39,Y$7&lt;=$F39),1,"")</x:f>
      </x:c>
      <x:c r="Z39" s="318" t="str">
        <x:f>IF(AND(Z$7&gt;=$E39,Z$7&lt;=$F39),1,"")</x:f>
      </x:c>
      <x:c r="AA39" s="318" t="str">
        <x:f>IF(AND(AA$7&gt;=$E39,AA$7&lt;=$F39),1,"")</x:f>
      </x:c>
      <x:c r="AB39" s="318" t="str">
        <x:f>IF(AND(AB$7&gt;=$E39,AB$7&lt;=$F39),1,"")</x:f>
      </x:c>
      <x:c r="AC39" s="319" t="str">
        <x:f>IF(AND(AC$7&gt;=$E39,AC$7&lt;=$F39),1,"")</x:f>
      </x:c>
      <x:c r="AD39" s="317" t="str">
        <x:f>IF(AND(AD$7&gt;=$E39,AD$7&lt;=$F39),1,"")</x:f>
      </x:c>
      <x:c r="AE39" s="317" t="str">
        <x:f>IF(AND(AE$7&gt;=$E39,AE$7&lt;=$F39),1,"")</x:f>
      </x:c>
      <x:c r="AF39" s="317" t="str">
        <x:f>IF(AND(AF$7&gt;=$E39,AF$7&lt;=$F39),1,"")</x:f>
      </x:c>
      <x:c r="AG39" s="317" t="str">
        <x:f>IF(AND(AG$7&gt;=$E39,AG$7&lt;=$F39),1,"")</x:f>
      </x:c>
      <x:c r="AH39" s="320" t="str">
        <x:f>IF(AND(AH$7&gt;=$E39,AH$7&lt;=$F39),1,"")</x:f>
      </x:c>
      <x:c r="AI39" s="320" t="str">
        <x:f>IF(AND(AI$7&gt;=$E39,AI$7&lt;=$F39),1,"")</x:f>
      </x:c>
      <x:c r="AJ39" s="320" t="str">
        <x:f>IF(AND(AJ$7&gt;=$E39,AJ$7&lt;=$F39),1,"")</x:f>
      </x:c>
      <x:c r="AK39" s="320" t="str">
        <x:f>IF(AND(AK$7&gt;=$E39,AK$7&lt;=$F39),1,"")</x:f>
      </x:c>
      <x:c r="AL39" s="320" t="str">
        <x:f>IF(AND(AL$7&gt;=$E39,AL$7&lt;=$F39),1,"")</x:f>
      </x:c>
      <x:c r="AM39" s="317" t="str">
        <x:f>IF(AND(AM$7&gt;=$E39,AM$7&lt;=$F39),1,"")</x:f>
      </x:c>
      <x:c r="AN39" s="317" t="str">
        <x:f>IF(AND(AN$7&gt;=$E39,AN$7&lt;=$F39),1,"")</x:f>
      </x:c>
      <x:c r="AO39" s="317" t="str">
        <x:f>IF(AND(AO$7&gt;=$E39,AO$7&lt;=$F39),1,"")</x:f>
      </x:c>
      <x:c r="AP39" s="317" t="str">
        <x:f>IF(AND(AP$7&gt;=$E39,AP$7&lt;=$F39),1,"")</x:f>
      </x:c>
      <x:c r="AQ39" s="317" t="str">
        <x:f>IF(AND(AQ$7&gt;=$E39,AQ$7&lt;=$F39),1,"")</x:f>
      </x:c>
      <x:c r="AR39" s="320" t="str">
        <x:f>IF(AND(AR$7&gt;=$E39,AR$7&lt;=$F39),1,"")</x:f>
      </x:c>
      <x:c r="AS39" s="320" t="str">
        <x:f>IF(AND(AS$7&gt;=$E39,AS$7&lt;=$F39),1,"")</x:f>
      </x:c>
      <x:c r="AT39" s="320" t="str">
        <x:f>IF(AND(AT$7&gt;=$E39,AT$7&lt;=$F39),1,"")</x:f>
      </x:c>
      <x:c r="AU39" s="320" t="str">
        <x:f>IF(AND(AU$7&gt;=$E39,AU$7&lt;=$F39),1,"")</x:f>
      </x:c>
      <x:c r="AV39" s="320" t="str">
        <x:f>IF(AND(AV$7&gt;=$E39,AV$7&lt;=$F39),1,"")</x:f>
      </x:c>
      <x:c r="AW39" s="319" t="str">
        <x:f>IF(AND(AW$7&gt;=$E39,AW$7&lt;=$F39),1,"")</x:f>
      </x:c>
      <x:c r="AX39" s="317" t="str">
        <x:f>IF(AND(AX$7&gt;=$E39,AX$7&lt;=$F39),1,"")</x:f>
      </x:c>
      <x:c r="AY39" s="317" t="str">
        <x:f>IF(AND(AY$7&gt;=$E39,AY$7&lt;=$F39),1,"")</x:f>
      </x:c>
      <x:c r="AZ39" s="317" t="str">
        <x:f>IF(AND(AZ$7&gt;=$E39,AZ$7&lt;=$F39),1,"")</x:f>
      </x:c>
      <x:c r="BA39" s="317" t="str">
        <x:f>IF(AND(BA$7&gt;=$E39,BA$7&lt;=$F39),1,"")</x:f>
      </x:c>
      <x:c r="BB39" s="321" t="str">
        <x:f>IF(AND(BB$7&gt;=$E39,BB$7&lt;=$F39),1,"")</x:f>
      </x:c>
      <x:c r="BC39" s="321" t="str">
        <x:f>IF(AND(BC$7&gt;=$E39,BC$7&lt;=$F39),1,"")</x:f>
      </x:c>
      <x:c r="BD39" s="321" t="str">
        <x:f>IF(AND(BD$7&gt;=$E39,BD$7&lt;=$F39),1,"")</x:f>
      </x:c>
      <x:c r="BE39" s="321" t="str">
        <x:f>IF(AND(BE$7&gt;=$E39,BE$7&lt;=$F39),1,"")</x:f>
      </x:c>
      <x:c r="BF39" s="321" t="str">
        <x:f>IF(AND(BF$7&gt;=$E39,BF$7&lt;=$F39),1,"")</x:f>
      </x:c>
      <x:c r="BG39" s="317" t="str">
        <x:f>IF(AND(BG$7&gt;=$E39,BG$7&lt;=$F39),1,"")</x:f>
      </x:c>
      <x:c r="BH39" s="317" t="str">
        <x:f>IF(AND(BH$7&gt;=$E39,BH$7&lt;=$F39),1,"")</x:f>
      </x:c>
      <x:c r="BI39" s="317" t="str">
        <x:f>IF(AND(BI$7&gt;=$E39,BI$7&lt;=$F39),1,"")</x:f>
      </x:c>
      <x:c r="BJ39" s="317" t="str">
        <x:f>IF(AND(BJ$7&gt;=$E39,BJ$7&lt;=$F39),1,"")</x:f>
      </x:c>
      <x:c r="BK39" s="317" t="str">
        <x:f>IF(AND(BK$7&gt;=$E39,BK$7&lt;=$F39),1,"")</x:f>
      </x:c>
      <x:c r="BL39" s="321" t="str">
        <x:f>IF(AND(BL$7&gt;=$E39,BL$7&lt;=$F39),1,"")</x:f>
      </x:c>
      <x:c r="BM39" s="321" t="str">
        <x:f>IF(AND(BM$7&gt;=$E39,BM$7&lt;=$F39),1,"")</x:f>
      </x:c>
      <x:c r="BN39" s="321" t="str">
        <x:f>IF(AND(BN$7&gt;=$E39,BN$7&lt;=$F39),1,"")</x:f>
      </x:c>
      <x:c r="BO39" s="321" t="str">
        <x:f>IF(AND(BO$7&gt;=$E39,BO$7&lt;=$F39),1,"")</x:f>
      </x:c>
      <x:c r="BP39" s="321" t="str">
        <x:f>IF(AND(BP$7&gt;=$E39,BP$7&lt;=$F39),1,"")</x:f>
      </x:c>
      <x:c r="BQ39" s="319" t="str">
        <x:f>IF(AND(BQ$7&gt;=$E39,BQ$7&lt;=$F39),1,"")</x:f>
      </x:c>
      <x:c r="BR39" s="317" t="str">
        <x:f>IF(AND(BR$7&gt;=$E39,BR$7&lt;=$F39),1,"")</x:f>
      </x:c>
      <x:c r="BS39" s="317" t="str">
        <x:f>IF(AND(BS$7&gt;=$E39,BS$7&lt;=$F39),1,"")</x:f>
      </x:c>
      <x:c r="BT39" s="317" t="str">
        <x:f>IF(AND(BT$7&gt;=$E39,BT$7&lt;=$F39),1,"")</x:f>
      </x:c>
      <x:c r="BU39" s="317" t="str">
        <x:f>IF(AND(BU$7&gt;=$E39,BU$7&lt;=$F39),1,"")</x:f>
      </x:c>
      <x:c r="BV39" s="322" t="str">
        <x:f>IF(AND(BV$7&gt;=$E39,BV$7&lt;=$F39),1,"")</x:f>
      </x:c>
      <x:c r="BW39" s="322" t="str">
        <x:f>IF(AND(BW$7&gt;=$E39,BW$7&lt;=$F39),1,"")</x:f>
      </x:c>
      <x:c r="BX39" s="322" t="str">
        <x:f>IF(AND(BX$7&gt;=$E39,BX$7&lt;=$F39),1,"")</x:f>
      </x:c>
      <x:c r="BY39" s="322" t="str">
        <x:f>IF(AND(BY$7&gt;=$E39,BY$7&lt;=$F39),1,"")</x:f>
      </x:c>
      <x:c r="BZ39" s="322" t="str">
        <x:f>IF(AND(BZ$7&gt;=$E39,BZ$7&lt;=$F39),1,"")</x:f>
      </x:c>
      <x:c r="CA39" s="317" t="str">
        <x:f>IF(AND(CA$7&gt;=$E39,CA$7&lt;=$F39),1,"")</x:f>
      </x:c>
      <x:c r="CB39" s="317" t="str">
        <x:f>IF(AND(CB$7&gt;=$E39,CB$7&lt;=$F39),1,"")</x:f>
      </x:c>
      <x:c r="CC39" s="317" t="str">
        <x:f>IF(AND(CC$7&gt;=$E39,CC$7&lt;=$F39),1,"")</x:f>
      </x:c>
      <x:c r="CD39" s="317" t="str">
        <x:f>IF(AND(CD$7&gt;=$E39,CD$7&lt;=$F39),1,"")</x:f>
      </x:c>
      <x:c r="CE39" s="317" t="str">
        <x:f>IF(AND(CE$7&gt;=$E39,CE$7&lt;=$F39),1,"")</x:f>
      </x:c>
      <x:c r="CF39" s="322" t="str">
        <x:f>IF(AND(CF$7&gt;=$E39,CF$7&lt;=$F39),1,"")</x:f>
      </x:c>
      <x:c r="CG39" s="322" t="str">
        <x:f>IF(AND(CG$7&gt;=$E39,CG$7&lt;=$F39),1,"")</x:f>
      </x:c>
      <x:c r="CH39" s="322" t="str">
        <x:f>IF(AND(CH$7&gt;=$E39,CH$7&lt;=$F39),1,"")</x:f>
      </x:c>
      <x:c r="CI39" s="322" t="str">
        <x:f>IF(AND(CI$7&gt;=$E39,CI$7&lt;=$F39),1,"")</x:f>
      </x:c>
      <x:c r="CJ39" s="322" t="str">
        <x:f>IF(AND(CJ$7&gt;=$E39,CJ$7&lt;=$F39),1,"")</x:f>
      </x:c>
      <x:c r="CK39" s="319" t="str">
        <x:f>IF(AND(CK$7&gt;=$E39,CK$7&lt;=$F39),1,"")</x:f>
      </x:c>
      <x:c r="CL39" s="317" t="str">
        <x:f>IF(AND(CL$7&gt;=$E39,CL$7&lt;=$F39),1,"")</x:f>
      </x:c>
      <x:c r="CM39" s="317" t="str">
        <x:f>IF(AND(CM$7&gt;=$E39,CM$7&lt;=$F39),1,"")</x:f>
      </x:c>
      <x:c r="CN39" s="317" t="str">
        <x:f>IF(AND(CN$7&gt;=$E39,CN$7&lt;=$F39),1,"")</x:f>
      </x:c>
      <x:c r="CO39" s="317" t="n">
        <x:f>IF(AND(CO$7&gt;=$E39,CO$7&lt;=$F39),1,"")</x:f>
        <x:v>1</x:v>
      </x:c>
      <x:c r="CP39" s="25"/>
    </x:row>
    <x:row r="46" ht="19">
      <x:c r="C46" s="3"/>
    </x:row>
  </x:sheetData>
  <x:mergeCells>
    <x:mergeCell ref="CK8:CO8"/>
    <x:mergeCell ref="I7:AB7"/>
    <x:mergeCell ref="X8:AB8"/>
    <x:mergeCell ref="AC7:AV7"/>
    <x:mergeCell ref="AM8:AQ8"/>
    <x:mergeCell ref="AW7:BP7"/>
    <x:mergeCell ref="BG8:BK8"/>
    <x:mergeCell ref="BQ7:CJ7"/>
    <x:mergeCell ref="CA8:CE8"/>
    <x:mergeCell ref="CK7:CO7"/>
    <x:mergeCell ref="CF8:CJ8"/>
    <x:mergeCell ref="I8:M8"/>
    <x:mergeCell ref="N8:R8"/>
    <x:mergeCell ref="BB8:BF8"/>
    <x:mergeCell ref="BL8:BP8"/>
    <x:mergeCell ref="BQ8:BU8"/>
    <x:mergeCell ref="BV8:BZ8"/>
    <x:mergeCell ref="S8:W8"/>
    <x:mergeCell ref="AC8:AG8"/>
    <x:mergeCell ref="AH8:AL8"/>
    <x:mergeCell ref="AR8:AV8"/>
    <x:mergeCell ref="AW8:BA8"/>
    <x:mergeCell ref="C2:H2"/>
    <x:mergeCell ref="C3:H3"/>
    <x:mergeCell ref="C4:H4"/>
    <x:mergeCell ref="C5:H5"/>
  </x:mergeCells>
  <x:conditionalFormatting sqref="H10:H39">
    <x:cfRule type="dataBar" priority="1">
      <x:dataBar minLength="0" maxLength="100">
        <x:cfvo type="percent" val="0"/>
        <x:cfvo type="percent" val="100"/>
        <x:color theme="3" tint="0.59999"/>
      </x:dataBar>
      <x:extLst>
        <x:ext xmlns:x14="http://schemas.microsoft.com/office/spreadsheetml/2009/9/main" uri="{B025F937-C7B1-47D3-B67F-A62EFF666E3E}">
          <x14:id>{FE5B685F-D93A-1B44-AB73-D05D527007CF}</x14:id>
        </x:ext>
      </x:extLst>
    </x:cfRule>
  </x:conditionalFormatting>
  <x:conditionalFormatting sqref="I10:CO39">
    <x:cfRule type="cellIs" dxfId="0" priority="2">
      <x:formula>1</x:formula>
    </x:cfRule>
  </x:conditionalFormatting>
  <x:pageMargins left="0.7" right="0.7" top="0.75" bottom="0.75" header="0.3" footer="0.3"/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1" id="{FE5B685F-D93A-1B44-AB73-D05D527007CF}">
            <x14:dataBar minLength="0" maxLength="100">
              <x14:cfvo type="percent">
                <xm:f>0</xm:f>
              </x14:cfvo>
              <x14:cfvo type="percent">
                <xm:f>100</xm:f>
              </x14:cfvo>
              <x14:fillColor theme="3" tint="0.59999"/>
              <x14:negativeFillColor theme="0"/>
              <x14:axisColor rgb="FF000000"/>
            </x14:dataBar>
          </x14:cfRule>
          <xm:sqref>H10:H39</xm:sqref>
        </x14:conditionalFormatting>
      </x14:conditionalFormattings>
    </x:ext>
  </x:extLst>
</x:worksheet>
</file>